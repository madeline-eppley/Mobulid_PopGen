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issacronin/Documents/"/>
    </mc:Choice>
  </mc:AlternateContent>
  <xr:revisionPtr revIDLastSave="0" documentId="13_ncr:1_{BC938DFA-C05B-324C-A8BE-56F28B129DDA}" xr6:coauthVersionLast="47" xr6:coauthVersionMax="47" xr10:uidLastSave="{00000000-0000-0000-0000-000000000000}"/>
  <bookViews>
    <workbookView xWindow="3780" yWindow="5480" windowWidth="29700" windowHeight="15820" activeTab="1" xr2:uid="{E8FF6AAE-F882-43C4-927D-4F4F136088A1}"/>
  </bookViews>
  <sheets>
    <sheet name="Muestras rayas" sheetId="1" r:id="rId1"/>
    <sheet name="Sheet1" sheetId="2" r:id="rId2"/>
  </sheets>
  <definedNames>
    <definedName name="_xlnm._FilterDatabase" localSheetId="0" hidden="1">'Muestras rayas'!$A$1:$N$73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2" i="2"/>
  <c r="J68" i="2"/>
  <c r="K68" i="2" s="1"/>
  <c r="L68" i="2" s="1"/>
  <c r="J67" i="2"/>
  <c r="K67" i="2" s="1"/>
  <c r="L67" i="2" s="1"/>
  <c r="J66" i="2"/>
  <c r="K66" i="2" s="1"/>
  <c r="L66" i="2" s="1"/>
  <c r="J65" i="2"/>
  <c r="K65" i="2" s="1"/>
  <c r="L65" i="2" s="1"/>
  <c r="J64" i="2"/>
  <c r="K64" i="2" s="1"/>
  <c r="L64" i="2" s="1"/>
  <c r="J63" i="2"/>
  <c r="K63" i="2" s="1"/>
  <c r="L63" i="2" s="1"/>
  <c r="J62" i="2"/>
  <c r="K62" i="2" s="1"/>
  <c r="L62" i="2" s="1"/>
  <c r="J61" i="2"/>
  <c r="K61" i="2" s="1"/>
  <c r="L61" i="2" s="1"/>
  <c r="J60" i="2"/>
  <c r="K60" i="2" s="1"/>
  <c r="L60" i="2" s="1"/>
  <c r="J59" i="2"/>
  <c r="K59" i="2" s="1"/>
  <c r="L59" i="2" s="1"/>
  <c r="J58" i="2"/>
  <c r="K58" i="2" s="1"/>
  <c r="L58" i="2" s="1"/>
  <c r="J57" i="2"/>
  <c r="K57" i="2" s="1"/>
  <c r="L57" i="2" s="1"/>
  <c r="J56" i="2"/>
  <c r="K56" i="2" s="1"/>
  <c r="L56" i="2" s="1"/>
  <c r="J55" i="2"/>
  <c r="K55" i="2" s="1"/>
  <c r="L55" i="2" s="1"/>
  <c r="J54" i="2"/>
  <c r="K54" i="2" s="1"/>
  <c r="L54" i="2" s="1"/>
  <c r="J53" i="2"/>
  <c r="K53" i="2" s="1"/>
  <c r="L53" i="2" s="1"/>
  <c r="J52" i="2"/>
  <c r="K52" i="2" s="1"/>
  <c r="L52" i="2" s="1"/>
  <c r="J51" i="2"/>
  <c r="K51" i="2" s="1"/>
  <c r="L51" i="2" s="1"/>
  <c r="J50" i="2"/>
  <c r="K50" i="2" s="1"/>
  <c r="L50" i="2" s="1"/>
  <c r="J49" i="2"/>
  <c r="K49" i="2" s="1"/>
  <c r="L49" i="2" s="1"/>
  <c r="J48" i="2"/>
  <c r="K48" i="2" s="1"/>
  <c r="L48" i="2" s="1"/>
  <c r="J47" i="2"/>
  <c r="K47" i="2" s="1"/>
  <c r="L47" i="2" s="1"/>
  <c r="J46" i="2"/>
  <c r="K46" i="2" s="1"/>
  <c r="L46" i="2" s="1"/>
  <c r="J45" i="2"/>
  <c r="K45" i="2" s="1"/>
  <c r="L45" i="2" s="1"/>
  <c r="J44" i="2"/>
  <c r="K44" i="2" s="1"/>
  <c r="L44" i="2" s="1"/>
  <c r="J43" i="2"/>
  <c r="K43" i="2" s="1"/>
  <c r="L43" i="2" s="1"/>
  <c r="J42" i="2"/>
  <c r="K42" i="2" s="1"/>
  <c r="L42" i="2" s="1"/>
  <c r="J41" i="2"/>
  <c r="K41" i="2" s="1"/>
  <c r="L41" i="2" s="1"/>
  <c r="J40" i="2"/>
  <c r="K40" i="2" s="1"/>
  <c r="L40" i="2" s="1"/>
  <c r="J39" i="2"/>
  <c r="K39" i="2" s="1"/>
  <c r="L39" i="2" s="1"/>
  <c r="J38" i="2"/>
  <c r="K38" i="2" s="1"/>
  <c r="L38" i="2" s="1"/>
  <c r="J37" i="2"/>
  <c r="K37" i="2" s="1"/>
  <c r="L37" i="2" s="1"/>
  <c r="J36" i="2"/>
  <c r="K36" i="2" s="1"/>
  <c r="L36" i="2" s="1"/>
  <c r="J35" i="2"/>
  <c r="K35" i="2" s="1"/>
  <c r="L35" i="2" s="1"/>
  <c r="J34" i="2"/>
  <c r="K34" i="2" s="1"/>
  <c r="L34" i="2" s="1"/>
  <c r="J33" i="2"/>
  <c r="K33" i="2" s="1"/>
  <c r="L33" i="2" s="1"/>
  <c r="J32" i="2"/>
  <c r="K32" i="2" s="1"/>
  <c r="L32" i="2" s="1"/>
  <c r="J31" i="2"/>
  <c r="K31" i="2" s="1"/>
  <c r="L31" i="2" s="1"/>
  <c r="J30" i="2"/>
  <c r="K30" i="2" s="1"/>
  <c r="L30" i="2" s="1"/>
  <c r="J29" i="2"/>
  <c r="K29" i="2" s="1"/>
  <c r="L29" i="2" s="1"/>
  <c r="J28" i="2"/>
  <c r="K28" i="2" s="1"/>
  <c r="L28" i="2" s="1"/>
  <c r="J27" i="2"/>
  <c r="K27" i="2" s="1"/>
  <c r="L27" i="2" s="1"/>
  <c r="J26" i="2"/>
  <c r="K26" i="2" s="1"/>
  <c r="L26" i="2" s="1"/>
  <c r="J25" i="2"/>
  <c r="K25" i="2" s="1"/>
  <c r="L25" i="2" s="1"/>
  <c r="J24" i="2"/>
  <c r="K24" i="2" s="1"/>
  <c r="L24" i="2" s="1"/>
  <c r="J23" i="2"/>
  <c r="K23" i="2" s="1"/>
  <c r="L23" i="2" s="1"/>
  <c r="J22" i="2"/>
  <c r="K22" i="2" s="1"/>
  <c r="L22" i="2" s="1"/>
  <c r="J21" i="2"/>
  <c r="K21" i="2" s="1"/>
  <c r="L21" i="2" s="1"/>
  <c r="J20" i="2"/>
  <c r="K20" i="2" s="1"/>
  <c r="L20" i="2" s="1"/>
  <c r="J19" i="2"/>
  <c r="K19" i="2" s="1"/>
  <c r="L19" i="2" s="1"/>
  <c r="J18" i="2"/>
  <c r="K18" i="2" s="1"/>
  <c r="L18" i="2" s="1"/>
  <c r="J17" i="2"/>
  <c r="K17" i="2" s="1"/>
  <c r="L17" i="2" s="1"/>
  <c r="J16" i="2"/>
  <c r="K16" i="2" s="1"/>
  <c r="L16" i="2" s="1"/>
  <c r="J15" i="2"/>
  <c r="K15" i="2" s="1"/>
  <c r="L15" i="2" s="1"/>
  <c r="J14" i="2"/>
  <c r="K14" i="2" s="1"/>
  <c r="L14" i="2" s="1"/>
  <c r="J13" i="2"/>
  <c r="K13" i="2" s="1"/>
  <c r="L13" i="2" s="1"/>
  <c r="J12" i="2"/>
  <c r="K12" i="2" s="1"/>
  <c r="L12" i="2" s="1"/>
  <c r="J11" i="2"/>
  <c r="K11" i="2" s="1"/>
  <c r="L11" i="2" s="1"/>
  <c r="J10" i="2"/>
  <c r="K10" i="2" s="1"/>
  <c r="L10" i="2" s="1"/>
  <c r="J9" i="2"/>
  <c r="K9" i="2" s="1"/>
  <c r="L9" i="2" s="1"/>
  <c r="J8" i="2"/>
  <c r="K8" i="2" s="1"/>
  <c r="L8" i="2" s="1"/>
  <c r="J7" i="2"/>
  <c r="K7" i="2" s="1"/>
  <c r="L7" i="2" s="1"/>
  <c r="J6" i="2"/>
  <c r="K6" i="2" s="1"/>
  <c r="L6" i="2" s="1"/>
  <c r="J5" i="2"/>
  <c r="K5" i="2" s="1"/>
  <c r="L5" i="2" s="1"/>
  <c r="J4" i="2"/>
  <c r="K4" i="2" s="1"/>
  <c r="L4" i="2" s="1"/>
  <c r="J3" i="2"/>
  <c r="K3" i="2" s="1"/>
  <c r="L3" i="2" s="1"/>
  <c r="J2" i="2"/>
  <c r="K2" i="2" s="1"/>
  <c r="L2" i="2" s="1"/>
  <c r="J73" i="1"/>
  <c r="K73" i="1" s="1"/>
  <c r="L73" i="1" s="1"/>
  <c r="J72" i="1"/>
  <c r="K72" i="1" s="1"/>
  <c r="L72" i="1" s="1"/>
  <c r="J71" i="1"/>
  <c r="K71" i="1" s="1"/>
  <c r="L71" i="1" s="1"/>
  <c r="J70" i="1"/>
  <c r="K70" i="1" s="1"/>
  <c r="L70" i="1" s="1"/>
  <c r="J69" i="1"/>
  <c r="K69" i="1" s="1"/>
  <c r="L69" i="1" s="1"/>
  <c r="J68" i="1"/>
  <c r="K68" i="1" s="1"/>
  <c r="L68" i="1" s="1"/>
  <c r="J67" i="1"/>
  <c r="K67" i="1" s="1"/>
  <c r="L67" i="1" s="1"/>
  <c r="J66" i="1"/>
  <c r="K66" i="1" s="1"/>
  <c r="L66" i="1" s="1"/>
  <c r="J65" i="1"/>
  <c r="K65" i="1" s="1"/>
  <c r="L65" i="1" s="1"/>
  <c r="J64" i="1"/>
  <c r="K64" i="1" s="1"/>
  <c r="L64" i="1" s="1"/>
  <c r="J63" i="1"/>
  <c r="K63" i="1" s="1"/>
  <c r="L63" i="1" s="1"/>
  <c r="J62" i="1"/>
  <c r="K62" i="1" s="1"/>
  <c r="L62" i="1" s="1"/>
  <c r="J61" i="1"/>
  <c r="K61" i="1" s="1"/>
  <c r="L61" i="1" s="1"/>
  <c r="J60" i="1"/>
  <c r="K60" i="1" s="1"/>
  <c r="L60" i="1" s="1"/>
  <c r="J59" i="1"/>
  <c r="K59" i="1" s="1"/>
  <c r="L59" i="1" s="1"/>
  <c r="J58" i="1"/>
  <c r="K58" i="1" s="1"/>
  <c r="L58" i="1" s="1"/>
  <c r="J57" i="1"/>
  <c r="K57" i="1" s="1"/>
  <c r="L57" i="1" s="1"/>
  <c r="J56" i="1"/>
  <c r="K56" i="1" s="1"/>
  <c r="L56" i="1" s="1"/>
  <c r="J55" i="1"/>
  <c r="K55" i="1" s="1"/>
  <c r="L55" i="1" s="1"/>
  <c r="J53" i="1"/>
  <c r="K53" i="1" s="1"/>
  <c r="L53" i="1" s="1"/>
  <c r="J52" i="1"/>
  <c r="K52" i="1" s="1"/>
  <c r="L52" i="1" s="1"/>
  <c r="J51" i="1"/>
  <c r="K51" i="1" s="1"/>
  <c r="L51" i="1" s="1"/>
  <c r="J50" i="1"/>
  <c r="K50" i="1" s="1"/>
  <c r="L50" i="1" s="1"/>
  <c r="J49" i="1"/>
  <c r="K49" i="1" s="1"/>
  <c r="L49" i="1" s="1"/>
  <c r="J48" i="1"/>
  <c r="K48" i="1" s="1"/>
  <c r="L48" i="1" s="1"/>
  <c r="J47" i="1"/>
  <c r="K47" i="1" s="1"/>
  <c r="L47" i="1" s="1"/>
  <c r="J46" i="1"/>
  <c r="K46" i="1" s="1"/>
  <c r="L46" i="1" s="1"/>
  <c r="J45" i="1"/>
  <c r="K45" i="1" s="1"/>
  <c r="L45" i="1" s="1"/>
  <c r="J43" i="1"/>
  <c r="K43" i="1" s="1"/>
  <c r="L43" i="1" s="1"/>
  <c r="J42" i="1"/>
  <c r="K42" i="1" s="1"/>
  <c r="L42" i="1" s="1"/>
  <c r="J41" i="1"/>
  <c r="K41" i="1" s="1"/>
  <c r="L41" i="1" s="1"/>
  <c r="J40" i="1"/>
  <c r="K40" i="1" s="1"/>
  <c r="L40" i="1" s="1"/>
  <c r="J39" i="1"/>
  <c r="K39" i="1" s="1"/>
  <c r="L39" i="1" s="1"/>
  <c r="J37" i="1"/>
  <c r="K37" i="1" s="1"/>
  <c r="L37" i="1" s="1"/>
  <c r="J36" i="1"/>
  <c r="K36" i="1" s="1"/>
  <c r="L36" i="1" s="1"/>
  <c r="J35" i="1"/>
  <c r="K35" i="1" s="1"/>
  <c r="L35" i="1" s="1"/>
  <c r="J34" i="1"/>
  <c r="K34" i="1" s="1"/>
  <c r="L34" i="1" s="1"/>
  <c r="J33" i="1"/>
  <c r="K33" i="1" s="1"/>
  <c r="L33" i="1" s="1"/>
  <c r="J32" i="1"/>
  <c r="K32" i="1" s="1"/>
  <c r="L32" i="1" s="1"/>
  <c r="J31" i="1"/>
  <c r="K31" i="1" s="1"/>
  <c r="L31" i="1" s="1"/>
  <c r="J30" i="1"/>
  <c r="K30" i="1" s="1"/>
  <c r="L30" i="1" s="1"/>
  <c r="J29" i="1"/>
  <c r="K29" i="1" s="1"/>
  <c r="L29" i="1" s="1"/>
  <c r="J28" i="1"/>
  <c r="K28" i="1" s="1"/>
  <c r="L28" i="1" s="1"/>
  <c r="J27" i="1"/>
  <c r="K27" i="1" s="1"/>
  <c r="L27" i="1" s="1"/>
  <c r="J26" i="1"/>
  <c r="K26" i="1" s="1"/>
  <c r="L26" i="1" s="1"/>
  <c r="J25" i="1"/>
  <c r="K25" i="1" s="1"/>
  <c r="L25" i="1" s="1"/>
  <c r="J24" i="1"/>
  <c r="K24" i="1" s="1"/>
  <c r="L24" i="1" s="1"/>
  <c r="J23" i="1"/>
  <c r="K23" i="1" s="1"/>
  <c r="L23" i="1" s="1"/>
  <c r="J22" i="1"/>
  <c r="K22" i="1" s="1"/>
  <c r="L22" i="1" s="1"/>
  <c r="J21" i="1"/>
  <c r="K21" i="1" s="1"/>
  <c r="L21" i="1" s="1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8" i="1"/>
  <c r="K8" i="1" s="1"/>
  <c r="L8" i="1" s="1"/>
  <c r="J7" i="1"/>
  <c r="K7" i="1" s="1"/>
  <c r="L7" i="1" s="1"/>
  <c r="J6" i="1"/>
  <c r="K6" i="1" s="1"/>
  <c r="L6" i="1" s="1"/>
  <c r="J5" i="1"/>
  <c r="K5" i="1" s="1"/>
  <c r="L5" i="1" s="1"/>
  <c r="J4" i="1"/>
  <c r="K4" i="1" s="1"/>
  <c r="L4" i="1" s="1"/>
  <c r="J3" i="1"/>
  <c r="K3" i="1" s="1"/>
  <c r="L3" i="1" s="1"/>
  <c r="J2" i="1"/>
  <c r="K2" i="1" s="1"/>
  <c r="L2" i="1" s="1"/>
</calcChain>
</file>

<file path=xl/sharedStrings.xml><?xml version="1.0" encoding="utf-8"?>
<sst xmlns="http://schemas.openxmlformats.org/spreadsheetml/2006/main" count="908" uniqueCount="218">
  <si>
    <t>Fecha</t>
  </si>
  <si>
    <t>Especie</t>
  </si>
  <si>
    <t>Sexo</t>
  </si>
  <si>
    <t>Latitud</t>
  </si>
  <si>
    <t>Longitud</t>
  </si>
  <si>
    <t>H</t>
  </si>
  <si>
    <t>0428S</t>
  </si>
  <si>
    <t>09901W</t>
  </si>
  <si>
    <t>0527N</t>
  </si>
  <si>
    <t>10619W</t>
  </si>
  <si>
    <t>M</t>
  </si>
  <si>
    <t>0547N</t>
  </si>
  <si>
    <t>0349N</t>
  </si>
  <si>
    <t>11005W</t>
  </si>
  <si>
    <t>0659N</t>
  </si>
  <si>
    <t>10736W</t>
  </si>
  <si>
    <t>0417N</t>
  </si>
  <si>
    <t>0054S</t>
  </si>
  <si>
    <t>09214W</t>
  </si>
  <si>
    <t>D</t>
  </si>
  <si>
    <t>0318S</t>
  </si>
  <si>
    <t>09054W</t>
  </si>
  <si>
    <t>0148N</t>
  </si>
  <si>
    <t>11135W</t>
  </si>
  <si>
    <t>0108N</t>
  </si>
  <si>
    <t>09710W</t>
  </si>
  <si>
    <t>0009N</t>
  </si>
  <si>
    <t>09613W</t>
  </si>
  <si>
    <t>0010N</t>
  </si>
  <si>
    <t>09524W</t>
  </si>
  <si>
    <t>0133N</t>
  </si>
  <si>
    <t>09859W</t>
  </si>
  <si>
    <t>0153S</t>
  </si>
  <si>
    <t>0913S</t>
  </si>
  <si>
    <t>08340W</t>
  </si>
  <si>
    <t>0712S</t>
  </si>
  <si>
    <t>08131W</t>
  </si>
  <si>
    <t>0719S</t>
  </si>
  <si>
    <t>08137W</t>
  </si>
  <si>
    <t>0725S</t>
  </si>
  <si>
    <t>08127W</t>
  </si>
  <si>
    <t>0718S</t>
  </si>
  <si>
    <t>08139W</t>
  </si>
  <si>
    <t>0720S</t>
  </si>
  <si>
    <t>08138W</t>
  </si>
  <si>
    <t>09110S</t>
  </si>
  <si>
    <t>08551W</t>
  </si>
  <si>
    <t>0239N</t>
  </si>
  <si>
    <t>08437W</t>
  </si>
  <si>
    <t>0321N</t>
  </si>
  <si>
    <t>09206W</t>
  </si>
  <si>
    <t>0021N</t>
  </si>
  <si>
    <t>08220W</t>
  </si>
  <si>
    <t>0243N</t>
  </si>
  <si>
    <t>09159W</t>
  </si>
  <si>
    <t>H_x000D_
H</t>
  </si>
  <si>
    <t>0237N</t>
  </si>
  <si>
    <t>09428W</t>
  </si>
  <si>
    <t>H_x000D_
H_x000D_
H</t>
  </si>
  <si>
    <t>0045N</t>
  </si>
  <si>
    <t>08759W</t>
  </si>
  <si>
    <t>0016N</t>
  </si>
  <si>
    <t>09420W</t>
  </si>
  <si>
    <t>1133S</t>
  </si>
  <si>
    <t>07948W</t>
  </si>
  <si>
    <t>0844S</t>
  </si>
  <si>
    <t>08124W</t>
  </si>
  <si>
    <t>1203S</t>
  </si>
  <si>
    <t>07843W</t>
  </si>
  <si>
    <t>0640S</t>
  </si>
  <si>
    <t>08126W</t>
  </si>
  <si>
    <t>0120S</t>
  </si>
  <si>
    <t>09230W</t>
  </si>
  <si>
    <t>0119S</t>
  </si>
  <si>
    <t>09245W</t>
  </si>
  <si>
    <t>0037S</t>
  </si>
  <si>
    <t>845S</t>
  </si>
  <si>
    <t>08439W</t>
  </si>
  <si>
    <t>0213N</t>
  </si>
  <si>
    <t>08519W</t>
  </si>
  <si>
    <t>0146N</t>
  </si>
  <si>
    <t>08448W_x000D_
08448W</t>
  </si>
  <si>
    <t>0104N</t>
  </si>
  <si>
    <t>08609W_x000D_
08609W</t>
  </si>
  <si>
    <t>M_x000D_
M_x000D_
M</t>
  </si>
  <si>
    <t>0227N</t>
  </si>
  <si>
    <t>09020W</t>
  </si>
  <si>
    <t>0224N</t>
  </si>
  <si>
    <t>0431S</t>
  </si>
  <si>
    <t>08756W</t>
  </si>
  <si>
    <t>0219S</t>
  </si>
  <si>
    <t>08434W</t>
  </si>
  <si>
    <t>0206S</t>
  </si>
  <si>
    <t>08528W</t>
  </si>
  <si>
    <t>0210S</t>
  </si>
  <si>
    <t>08710W</t>
  </si>
  <si>
    <t>0143N</t>
  </si>
  <si>
    <t>08234W</t>
  </si>
  <si>
    <t>0126N</t>
  </si>
  <si>
    <t>08226W</t>
  </si>
  <si>
    <t>RMO</t>
  </si>
  <si>
    <t>RMU</t>
  </si>
  <si>
    <t>RMT</t>
  </si>
  <si>
    <t>RMB</t>
  </si>
  <si>
    <t>RMM</t>
  </si>
  <si>
    <t>DESC</t>
  </si>
  <si>
    <t xml:space="preserve">
09041W</t>
  </si>
  <si>
    <t xml:space="preserve">
09005W</t>
  </si>
  <si>
    <t>Número</t>
  </si>
  <si>
    <t>BYC_RMM_51</t>
  </si>
  <si>
    <t>BYC_RMM_52</t>
  </si>
  <si>
    <t>BYC_DESC_54</t>
  </si>
  <si>
    <t>BYC_DESC_55</t>
  </si>
  <si>
    <t>BYC_RMM_58</t>
  </si>
  <si>
    <t>BYC_RMT_46</t>
  </si>
  <si>
    <t>BYC_RMO_47</t>
  </si>
  <si>
    <t>BYC_RMU_18</t>
  </si>
  <si>
    <t>BYC_RMU_17</t>
  </si>
  <si>
    <t>BYC_RMU_16</t>
  </si>
  <si>
    <t>BYC_RMB_34</t>
  </si>
  <si>
    <t>BYC_RMT_27</t>
  </si>
  <si>
    <t>BYC_RMM_31</t>
  </si>
  <si>
    <t>Notes</t>
  </si>
  <si>
    <t>BYC_RMM_11</t>
  </si>
  <si>
    <t>BYC_RMM_30</t>
  </si>
  <si>
    <t>BYC_DESC_15</t>
  </si>
  <si>
    <t>BYC_RMO_45</t>
  </si>
  <si>
    <t>BYC_RMM_44</t>
  </si>
  <si>
    <t>BYC_RMM_35</t>
  </si>
  <si>
    <t>sheet species ID an error? Says RMM on tube</t>
  </si>
  <si>
    <t>BYC_RMM_38</t>
  </si>
  <si>
    <t>BYC_RMT_49</t>
  </si>
  <si>
    <t>BYC_RMO_48</t>
  </si>
  <si>
    <t>BYC_RMM_50</t>
  </si>
  <si>
    <t>BYC_RMM_33</t>
  </si>
  <si>
    <t>BYC_RMT_28</t>
  </si>
  <si>
    <t>BYC_RMB_36</t>
  </si>
  <si>
    <t>BYC_RMB_57</t>
  </si>
  <si>
    <t>BYC_RMT_29</t>
  </si>
  <si>
    <t>BYC_RMM_32</t>
  </si>
  <si>
    <t>BYC_RMM_22</t>
  </si>
  <si>
    <t>BYC_RMM_23</t>
  </si>
  <si>
    <t>BYC_RMM_24</t>
  </si>
  <si>
    <t>BYC_RMM_25</t>
  </si>
  <si>
    <t>BYC_RMM_03</t>
  </si>
  <si>
    <t>BYC_RMT_04</t>
  </si>
  <si>
    <t>BYC_RMM_02</t>
  </si>
  <si>
    <t>BYC_RMT_06</t>
  </si>
  <si>
    <t>BYC_RMT_07</t>
  </si>
  <si>
    <t>BYC_RMM_05</t>
  </si>
  <si>
    <t>BYC_RMO_40</t>
  </si>
  <si>
    <t>BYC_RMO_39</t>
  </si>
  <si>
    <t>BYC_RMU_41</t>
  </si>
  <si>
    <t>BYC_RMU_42</t>
  </si>
  <si>
    <t>BYC_RMU_19</t>
  </si>
  <si>
    <t>BYC_RMM_20</t>
  </si>
  <si>
    <t>BYC_RMM_21</t>
  </si>
  <si>
    <t>date transcription problem</t>
  </si>
  <si>
    <t>BYC_RMM_10</t>
  </si>
  <si>
    <t>BYC_RMM_12</t>
  </si>
  <si>
    <t>BYC_RMM_13</t>
  </si>
  <si>
    <t>BYC_RMM_14</t>
  </si>
  <si>
    <t>BYC_RMB_01</t>
  </si>
  <si>
    <t>BYC_RMT_59</t>
  </si>
  <si>
    <t>BYC_DESC_60</t>
  </si>
  <si>
    <t>BYC_DESC_61</t>
  </si>
  <si>
    <t>BYC_RMU_26</t>
  </si>
  <si>
    <t>BYC_DESC_62</t>
  </si>
  <si>
    <t>BYC_DESC_63</t>
  </si>
  <si>
    <t>BYC_DESC_64</t>
  </si>
  <si>
    <t>BYC_DESC_65</t>
  </si>
  <si>
    <t>date problem - cannot ID</t>
  </si>
  <si>
    <t>date problem - cannot ID - could be 43</t>
  </si>
  <si>
    <t>date problem - cannot ID - could be 53</t>
  </si>
  <si>
    <t>date problem - cannot ID- could be 9</t>
  </si>
  <si>
    <t>146*26'</t>
  </si>
  <si>
    <t>09*00'</t>
  </si>
  <si>
    <t>BYCI_RMM_66</t>
  </si>
  <si>
    <t>0511S</t>
  </si>
  <si>
    <t>16138W</t>
  </si>
  <si>
    <t>ISSF - CF_01 original sample number</t>
  </si>
  <si>
    <t>ISSF- MC_01 original sample number; lat long in diff format - fix</t>
  </si>
  <si>
    <t>ISSF - FR_02 original sample number</t>
  </si>
  <si>
    <t>0436S</t>
  </si>
  <si>
    <t>ISSF - FR_03 original sample number</t>
  </si>
  <si>
    <t>0528N</t>
  </si>
  <si>
    <t>BYCI_RMT_69</t>
  </si>
  <si>
    <t>BYCI_RMM_68</t>
  </si>
  <si>
    <t>BYCI_DESC_67</t>
  </si>
  <si>
    <t>ISSF - PP_02 original sample number (315 on top of vial)</t>
  </si>
  <si>
    <t>BYCI_RMM_70</t>
  </si>
  <si>
    <t>ISSF - FR_01 original sample number</t>
  </si>
  <si>
    <t>17953E</t>
  </si>
  <si>
    <t>BYCI_RMT_71</t>
  </si>
  <si>
    <t>0419N</t>
  </si>
  <si>
    <t>14424W</t>
  </si>
  <si>
    <t>11757W</t>
  </si>
  <si>
    <t>BYCI_RMM_72</t>
  </si>
  <si>
    <t>ISSF - PP_03 original number (Leandro sample)</t>
  </si>
  <si>
    <t>0502N</t>
  </si>
  <si>
    <t>16404W</t>
  </si>
  <si>
    <t xml:space="preserve"> H *0.2  [ng/mu]</t>
  </si>
  <si>
    <t xml:space="preserve">RAW Qubit score (ng/uL) </t>
  </si>
  <si>
    <t xml:space="preserve">How much to get to 100 ng &gt;&gt; 100/Col I </t>
  </si>
  <si>
    <t xml:space="preserve">Water to 10 uL (10 minus J). Put 10 if you need more. </t>
  </si>
  <si>
    <t>&gt;600</t>
  </si>
  <si>
    <t>BYC_RMB_56</t>
  </si>
  <si>
    <t>Qubit after dilution</t>
  </si>
  <si>
    <t>ID</t>
  </si>
  <si>
    <t>well</t>
  </si>
  <si>
    <t>A</t>
  </si>
  <si>
    <t>B</t>
  </si>
  <si>
    <t>C</t>
  </si>
  <si>
    <t>E</t>
  </si>
  <si>
    <t>F</t>
  </si>
  <si>
    <t>G</t>
  </si>
  <si>
    <t>let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</si>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</sst>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1" xfId="0" applyFill="1" applyBorder="1" applyAlignment="1">
      <alignment horizontal="center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C233-218A-4FFD-85EE-557BE65B1110}">
  <dimension ref="A1:P73"/>
  <sheetViews>
    <sheetView topLeftCell="D33" zoomScale="125" workbookViewId="0">
      <selection activeCell="M51" sqref="A1:P73"/>
    </sheetView>
  </sheetViews>
  <sheetFormatPr baseColWidth="10" defaultRowHeight="15" x14ac:dyDescent="0.2"/>
  <cols>
    <col min="1" max="1" width="8.33203125" style="13" bestFit="1" customWidth="1"/>
    <col min="2" max="5" width="11.5" style="19"/>
    <col min="6" max="6" width="14.1640625" style="19" customWidth="1"/>
    <col min="7" max="7" width="17.83203125" style="19" customWidth="1"/>
    <col min="8" max="8" width="17.83203125" style="19" hidden="1" customWidth="1"/>
    <col min="9" max="10" width="17.83203125" style="19" customWidth="1"/>
    <col min="11" max="13" width="17.83203125" style="29" customWidth="1"/>
    <col min="14" max="14" width="21.1640625" hidden="1" customWidth="1"/>
    <col min="15" max="15" width="9.6640625" style="19" customWidth="1"/>
    <col min="16" max="16" width="10.83203125" style="19"/>
    <col min="17" max="16384" width="10.83203125" style="13"/>
  </cols>
  <sheetData>
    <row r="1" spans="1:16" ht="23" customHeight="1" x14ac:dyDescent="0.2">
      <c r="A1" s="24" t="s">
        <v>108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18" t="s">
        <v>208</v>
      </c>
      <c r="H1" s="20" t="s">
        <v>202</v>
      </c>
      <c r="I1" s="18" t="s">
        <v>207</v>
      </c>
      <c r="J1" s="18" t="s">
        <v>201</v>
      </c>
      <c r="K1" s="26" t="s">
        <v>203</v>
      </c>
      <c r="L1" s="26" t="s">
        <v>204</v>
      </c>
      <c r="M1" s="26" t="s">
        <v>209</v>
      </c>
      <c r="N1" s="2" t="s">
        <v>122</v>
      </c>
      <c r="O1" s="26" t="s">
        <v>216</v>
      </c>
      <c r="P1" s="26" t="s">
        <v>217</v>
      </c>
    </row>
    <row r="2" spans="1:16" s="36" customFormat="1" x14ac:dyDescent="0.2">
      <c r="A2" s="30">
        <v>1</v>
      </c>
      <c r="B2" s="31">
        <v>43755</v>
      </c>
      <c r="C2" s="30" t="s">
        <v>103</v>
      </c>
      <c r="D2" s="30" t="s">
        <v>5</v>
      </c>
      <c r="E2" s="30" t="s">
        <v>6</v>
      </c>
      <c r="F2" s="30" t="s">
        <v>7</v>
      </c>
      <c r="G2" s="32" t="s">
        <v>162</v>
      </c>
      <c r="H2" s="4">
        <v>335</v>
      </c>
      <c r="I2" s="32">
        <v>335</v>
      </c>
      <c r="J2" s="32">
        <f>I2*0.2</f>
        <v>67</v>
      </c>
      <c r="K2" s="34">
        <f>100/J2</f>
        <v>1.4925373134328359</v>
      </c>
      <c r="L2" s="34">
        <f>10-K2</f>
        <v>8.5074626865671643</v>
      </c>
      <c r="M2" s="34"/>
      <c r="N2" s="12" t="s">
        <v>157</v>
      </c>
      <c r="O2" s="35" t="s">
        <v>210</v>
      </c>
      <c r="P2" s="35">
        <v>1</v>
      </c>
    </row>
    <row r="3" spans="1:16" s="36" customFormat="1" x14ac:dyDescent="0.2">
      <c r="A3" s="30">
        <v>2</v>
      </c>
      <c r="B3" s="31">
        <v>43141</v>
      </c>
      <c r="C3" s="30" t="s">
        <v>104</v>
      </c>
      <c r="D3" s="30" t="s">
        <v>5</v>
      </c>
      <c r="E3" s="30" t="s">
        <v>8</v>
      </c>
      <c r="F3" s="30" t="s">
        <v>9</v>
      </c>
      <c r="G3" s="33" t="s">
        <v>146</v>
      </c>
      <c r="H3" s="12">
        <v>228</v>
      </c>
      <c r="I3" s="32">
        <v>228</v>
      </c>
      <c r="J3" s="32">
        <f>I3*0.2</f>
        <v>45.6</v>
      </c>
      <c r="K3" s="34">
        <f>100/J3</f>
        <v>2.1929824561403506</v>
      </c>
      <c r="L3" s="34">
        <f>10-K3</f>
        <v>7.807017543859649</v>
      </c>
      <c r="M3" s="34"/>
      <c r="N3"/>
      <c r="O3" s="35" t="s">
        <v>211</v>
      </c>
      <c r="P3" s="35">
        <v>1</v>
      </c>
    </row>
    <row r="4" spans="1:16" s="36" customFormat="1" x14ac:dyDescent="0.2">
      <c r="A4" s="30">
        <v>3</v>
      </c>
      <c r="B4" s="31">
        <v>43141</v>
      </c>
      <c r="C4" s="30" t="s">
        <v>104</v>
      </c>
      <c r="D4" s="30" t="s">
        <v>10</v>
      </c>
      <c r="E4" s="30" t="s">
        <v>11</v>
      </c>
      <c r="F4" s="30" t="s">
        <v>9</v>
      </c>
      <c r="G4" s="33" t="s">
        <v>144</v>
      </c>
      <c r="H4" s="12">
        <v>319</v>
      </c>
      <c r="I4" s="32">
        <v>319</v>
      </c>
      <c r="J4" s="32">
        <f>I4*0.2</f>
        <v>63.800000000000004</v>
      </c>
      <c r="K4" s="34">
        <f>100/J4</f>
        <v>1.567398119122257</v>
      </c>
      <c r="L4" s="34">
        <f>10-K4</f>
        <v>8.4326018808777423</v>
      </c>
      <c r="M4" s="34"/>
      <c r="N4" s="13"/>
      <c r="O4" s="35" t="s">
        <v>212</v>
      </c>
      <c r="P4" s="35">
        <v>1</v>
      </c>
    </row>
    <row r="5" spans="1:16" s="36" customFormat="1" x14ac:dyDescent="0.2">
      <c r="A5" s="30">
        <v>4</v>
      </c>
      <c r="B5" s="31">
        <v>43143</v>
      </c>
      <c r="C5" s="30" t="s">
        <v>102</v>
      </c>
      <c r="D5" s="30" t="s">
        <v>10</v>
      </c>
      <c r="E5" s="30" t="s">
        <v>12</v>
      </c>
      <c r="F5" s="30" t="s">
        <v>13</v>
      </c>
      <c r="G5" s="33" t="s">
        <v>145</v>
      </c>
      <c r="H5" s="3">
        <v>319</v>
      </c>
      <c r="I5" s="33">
        <v>319</v>
      </c>
      <c r="J5" s="32">
        <f>I5*0.2</f>
        <v>63.800000000000004</v>
      </c>
      <c r="K5" s="34">
        <f>100/J5</f>
        <v>1.567398119122257</v>
      </c>
      <c r="L5" s="34">
        <f>10-K5</f>
        <v>8.4326018808777423</v>
      </c>
      <c r="M5" s="34"/>
      <c r="N5" s="3"/>
      <c r="O5" s="35" t="s">
        <v>19</v>
      </c>
      <c r="P5" s="35">
        <v>1</v>
      </c>
    </row>
    <row r="6" spans="1:16" s="36" customFormat="1" x14ac:dyDescent="0.2">
      <c r="A6" s="30">
        <v>5</v>
      </c>
      <c r="B6" s="31">
        <v>43145</v>
      </c>
      <c r="C6" s="30" t="s">
        <v>104</v>
      </c>
      <c r="D6" s="30" t="s">
        <v>10</v>
      </c>
      <c r="E6" s="30" t="s">
        <v>14</v>
      </c>
      <c r="F6" s="30" t="s">
        <v>15</v>
      </c>
      <c r="G6" s="32" t="s">
        <v>149</v>
      </c>
      <c r="H6" s="12">
        <v>363</v>
      </c>
      <c r="I6" s="32">
        <v>363</v>
      </c>
      <c r="J6" s="32">
        <f>I6*0.2</f>
        <v>72.600000000000009</v>
      </c>
      <c r="K6" s="34">
        <f>100/J6</f>
        <v>1.3774104683195592</v>
      </c>
      <c r="L6" s="34">
        <f>10-K6</f>
        <v>8.6225895316804415</v>
      </c>
      <c r="M6" s="34"/>
      <c r="N6" s="13"/>
      <c r="O6" s="35" t="s">
        <v>213</v>
      </c>
      <c r="P6" s="35">
        <v>1</v>
      </c>
    </row>
    <row r="7" spans="1:16" s="36" customFormat="1" x14ac:dyDescent="0.2">
      <c r="A7" s="30">
        <v>6</v>
      </c>
      <c r="B7" s="31">
        <v>43158</v>
      </c>
      <c r="C7" s="30" t="s">
        <v>102</v>
      </c>
      <c r="D7" s="30" t="s">
        <v>5</v>
      </c>
      <c r="E7" s="30" t="s">
        <v>16</v>
      </c>
      <c r="F7" s="30" t="s">
        <v>13</v>
      </c>
      <c r="G7" s="32" t="s">
        <v>147</v>
      </c>
      <c r="H7" s="12">
        <v>347</v>
      </c>
      <c r="I7" s="32">
        <v>347</v>
      </c>
      <c r="J7" s="32">
        <f>I7*0.2</f>
        <v>69.400000000000006</v>
      </c>
      <c r="K7" s="34">
        <f>100/J7</f>
        <v>1.4409221902017291</v>
      </c>
      <c r="L7" s="34">
        <f>10-K7</f>
        <v>8.5590778097982714</v>
      </c>
      <c r="M7" s="34"/>
      <c r="N7" s="13"/>
      <c r="O7" s="35" t="s">
        <v>214</v>
      </c>
      <c r="P7" s="35">
        <v>1</v>
      </c>
    </row>
    <row r="8" spans="1:16" s="36" customFormat="1" x14ac:dyDescent="0.2">
      <c r="A8" s="30">
        <v>7</v>
      </c>
      <c r="B8" s="31">
        <v>43172</v>
      </c>
      <c r="C8" s="30" t="s">
        <v>102</v>
      </c>
      <c r="D8" s="30" t="s">
        <v>5</v>
      </c>
      <c r="E8" s="30" t="s">
        <v>17</v>
      </c>
      <c r="F8" s="30" t="s">
        <v>18</v>
      </c>
      <c r="G8" s="32" t="s">
        <v>148</v>
      </c>
      <c r="H8" s="4">
        <v>373</v>
      </c>
      <c r="I8" s="32">
        <v>373</v>
      </c>
      <c r="J8" s="32">
        <f>I8*0.2</f>
        <v>74.600000000000009</v>
      </c>
      <c r="K8" s="34">
        <f>100/J8</f>
        <v>1.3404825737265413</v>
      </c>
      <c r="L8" s="34">
        <f>10-K8</f>
        <v>8.6595174262734584</v>
      </c>
      <c r="M8" s="34"/>
      <c r="N8"/>
      <c r="O8" s="35" t="s">
        <v>215</v>
      </c>
      <c r="P8" s="35">
        <v>1</v>
      </c>
    </row>
    <row r="9" spans="1:16" s="9" customFormat="1" x14ac:dyDescent="0.2">
      <c r="A9" s="6">
        <v>8</v>
      </c>
      <c r="B9" s="7">
        <v>43205</v>
      </c>
      <c r="C9" s="6" t="s">
        <v>100</v>
      </c>
      <c r="D9" s="6" t="s">
        <v>19</v>
      </c>
      <c r="E9" s="6" t="s">
        <v>20</v>
      </c>
      <c r="F9" s="6" t="s">
        <v>21</v>
      </c>
      <c r="G9" s="8"/>
      <c r="H9" s="8"/>
      <c r="I9" s="8"/>
      <c r="J9" s="8"/>
      <c r="K9" s="8"/>
      <c r="L9" s="8"/>
      <c r="M9" s="8"/>
    </row>
    <row r="10" spans="1:16" s="9" customFormat="1" x14ac:dyDescent="0.2">
      <c r="A10" s="6">
        <v>9</v>
      </c>
      <c r="B10" s="7">
        <v>43269</v>
      </c>
      <c r="C10" s="6" t="s">
        <v>104</v>
      </c>
      <c r="D10" s="6" t="s">
        <v>19</v>
      </c>
      <c r="E10" s="6" t="s">
        <v>22</v>
      </c>
      <c r="F10" s="6" t="s">
        <v>23</v>
      </c>
      <c r="G10" s="8"/>
      <c r="H10" s="8"/>
      <c r="I10" s="8"/>
      <c r="J10" s="8"/>
      <c r="K10" s="8"/>
      <c r="L10" s="8"/>
      <c r="M10" s="8"/>
    </row>
    <row r="11" spans="1:16" s="36" customFormat="1" x14ac:dyDescent="0.2">
      <c r="A11" s="30">
        <v>10</v>
      </c>
      <c r="B11" s="31">
        <v>43299</v>
      </c>
      <c r="C11" s="30" t="s">
        <v>104</v>
      </c>
      <c r="D11" s="30" t="s">
        <v>10</v>
      </c>
      <c r="E11" s="30" t="s">
        <v>24</v>
      </c>
      <c r="F11" s="30" t="s">
        <v>25</v>
      </c>
      <c r="G11" s="32" t="s">
        <v>158</v>
      </c>
      <c r="H11" s="12">
        <v>306</v>
      </c>
      <c r="I11" s="32">
        <v>306</v>
      </c>
      <c r="J11" s="32">
        <f>I11*0.2</f>
        <v>61.2</v>
      </c>
      <c r="K11" s="34">
        <f>100/J11</f>
        <v>1.6339869281045751</v>
      </c>
      <c r="L11" s="34">
        <f>10-K11</f>
        <v>8.3660130718954253</v>
      </c>
      <c r="M11" s="34"/>
      <c r="N11" s="13" t="s">
        <v>157</v>
      </c>
      <c r="O11" s="35" t="s">
        <v>5</v>
      </c>
      <c r="P11" s="35">
        <v>1</v>
      </c>
    </row>
    <row r="12" spans="1:16" s="36" customFormat="1" x14ac:dyDescent="0.2">
      <c r="A12" s="30">
        <v>11</v>
      </c>
      <c r="B12" s="31">
        <v>43299</v>
      </c>
      <c r="C12" s="30" t="s">
        <v>104</v>
      </c>
      <c r="D12" s="30" t="s">
        <v>10</v>
      </c>
      <c r="E12" s="30" t="s">
        <v>26</v>
      </c>
      <c r="F12" s="30" t="s">
        <v>27</v>
      </c>
      <c r="G12" s="32" t="s">
        <v>123</v>
      </c>
      <c r="H12" s="12" t="s">
        <v>205</v>
      </c>
      <c r="I12" s="32">
        <v>560</v>
      </c>
      <c r="J12" s="32">
        <f>I12*0.2</f>
        <v>112</v>
      </c>
      <c r="K12" s="34">
        <f>100/J12</f>
        <v>0.8928571428571429</v>
      </c>
      <c r="L12" s="34">
        <f>10-K12</f>
        <v>9.1071428571428577</v>
      </c>
      <c r="M12" s="34"/>
      <c r="N12" s="13" t="s">
        <v>157</v>
      </c>
      <c r="O12" s="35" t="s">
        <v>210</v>
      </c>
      <c r="P12" s="35">
        <v>2</v>
      </c>
    </row>
    <row r="13" spans="1:16" s="36" customFormat="1" x14ac:dyDescent="0.2">
      <c r="A13" s="30">
        <v>12</v>
      </c>
      <c r="B13" s="31">
        <v>43299</v>
      </c>
      <c r="C13" s="30" t="s">
        <v>104</v>
      </c>
      <c r="D13" s="30" t="s">
        <v>5</v>
      </c>
      <c r="E13" s="30" t="s">
        <v>28</v>
      </c>
      <c r="F13" s="30" t="s">
        <v>29</v>
      </c>
      <c r="G13" s="32" t="s">
        <v>159</v>
      </c>
      <c r="H13" s="12">
        <v>334</v>
      </c>
      <c r="I13" s="32">
        <v>334</v>
      </c>
      <c r="J13" s="32">
        <f>I13*0.2</f>
        <v>66.8</v>
      </c>
      <c r="K13" s="34">
        <f>100/J13</f>
        <v>1.4970059880239521</v>
      </c>
      <c r="L13" s="34">
        <f>10-K13</f>
        <v>8.5029940119760479</v>
      </c>
      <c r="M13" s="34"/>
      <c r="N13" s="13" t="s">
        <v>157</v>
      </c>
      <c r="O13" s="35" t="s">
        <v>211</v>
      </c>
      <c r="P13" s="35">
        <v>2</v>
      </c>
    </row>
    <row r="14" spans="1:16" s="36" customFormat="1" x14ac:dyDescent="0.2">
      <c r="A14" s="30">
        <v>13</v>
      </c>
      <c r="B14" s="31">
        <v>43330</v>
      </c>
      <c r="C14" s="30" t="s">
        <v>104</v>
      </c>
      <c r="D14" s="30" t="s">
        <v>10</v>
      </c>
      <c r="E14" s="30" t="s">
        <v>30</v>
      </c>
      <c r="F14" s="30" t="s">
        <v>31</v>
      </c>
      <c r="G14" s="32" t="s">
        <v>160</v>
      </c>
      <c r="H14" s="12">
        <v>344</v>
      </c>
      <c r="I14" s="32">
        <v>344</v>
      </c>
      <c r="J14" s="32">
        <f>I14*0.2</f>
        <v>68.8</v>
      </c>
      <c r="K14" s="34">
        <f>100/J14</f>
        <v>1.4534883720930234</v>
      </c>
      <c r="L14" s="34">
        <f>10-K14</f>
        <v>8.5465116279069768</v>
      </c>
      <c r="M14" s="34"/>
      <c r="N14" s="13" t="s">
        <v>157</v>
      </c>
      <c r="O14" s="35" t="s">
        <v>212</v>
      </c>
      <c r="P14" s="35">
        <v>2</v>
      </c>
    </row>
    <row r="15" spans="1:16" s="36" customFormat="1" x14ac:dyDescent="0.2">
      <c r="A15" s="30">
        <v>14</v>
      </c>
      <c r="B15" s="31">
        <v>43330</v>
      </c>
      <c r="C15" s="30" t="s">
        <v>104</v>
      </c>
      <c r="D15" s="30" t="s">
        <v>10</v>
      </c>
      <c r="E15" s="30" t="s">
        <v>28</v>
      </c>
      <c r="F15" s="30" t="s">
        <v>29</v>
      </c>
      <c r="G15" s="32" t="s">
        <v>161</v>
      </c>
      <c r="H15" s="12">
        <v>333</v>
      </c>
      <c r="I15" s="32">
        <v>333</v>
      </c>
      <c r="J15" s="32">
        <f>I15*0.2</f>
        <v>66.600000000000009</v>
      </c>
      <c r="K15" s="34">
        <f>100/J15</f>
        <v>1.5015015015015014</v>
      </c>
      <c r="L15" s="34">
        <f>10-K15</f>
        <v>8.498498498498499</v>
      </c>
      <c r="M15" s="34"/>
      <c r="N15" s="13" t="s">
        <v>157</v>
      </c>
      <c r="O15" s="35" t="s">
        <v>19</v>
      </c>
      <c r="P15" s="35">
        <v>2</v>
      </c>
    </row>
    <row r="16" spans="1:16" s="36" customFormat="1" x14ac:dyDescent="0.2">
      <c r="A16" s="30">
        <v>15</v>
      </c>
      <c r="B16" s="31">
        <v>43377</v>
      </c>
      <c r="C16" s="30" t="s">
        <v>105</v>
      </c>
      <c r="D16" s="30" t="s">
        <v>5</v>
      </c>
      <c r="E16" s="30" t="s">
        <v>32</v>
      </c>
      <c r="F16" s="30" t="s">
        <v>29</v>
      </c>
      <c r="G16" s="32" t="s">
        <v>125</v>
      </c>
      <c r="H16" s="4">
        <v>283</v>
      </c>
      <c r="I16" s="32">
        <v>283</v>
      </c>
      <c r="J16" s="32">
        <f>I16*0.2</f>
        <v>56.6</v>
      </c>
      <c r="K16" s="34">
        <f>100/J16</f>
        <v>1.7667844522968197</v>
      </c>
      <c r="L16" s="34">
        <f>10-K16</f>
        <v>8.2332155477031801</v>
      </c>
      <c r="M16" s="34"/>
      <c r="N16"/>
      <c r="O16" s="35" t="s">
        <v>213</v>
      </c>
      <c r="P16" s="35">
        <v>2</v>
      </c>
    </row>
    <row r="17" spans="1:16" s="36" customFormat="1" x14ac:dyDescent="0.2">
      <c r="A17" s="30">
        <v>16</v>
      </c>
      <c r="B17" s="31">
        <v>43528</v>
      </c>
      <c r="C17" s="30" t="s">
        <v>101</v>
      </c>
      <c r="D17" s="30" t="s">
        <v>5</v>
      </c>
      <c r="E17" s="30" t="s">
        <v>33</v>
      </c>
      <c r="F17" s="30" t="s">
        <v>34</v>
      </c>
      <c r="G17" s="32" t="s">
        <v>118</v>
      </c>
      <c r="H17" s="4">
        <v>355</v>
      </c>
      <c r="I17" s="32">
        <v>355</v>
      </c>
      <c r="J17" s="32">
        <f>I17*0.2</f>
        <v>71</v>
      </c>
      <c r="K17" s="34">
        <f>100/J17</f>
        <v>1.408450704225352</v>
      </c>
      <c r="L17" s="34">
        <f>10-K17</f>
        <v>8.591549295774648</v>
      </c>
      <c r="M17" s="34"/>
      <c r="N17"/>
      <c r="O17" s="35" t="s">
        <v>214</v>
      </c>
      <c r="P17" s="35">
        <v>2</v>
      </c>
    </row>
    <row r="18" spans="1:16" s="36" customFormat="1" x14ac:dyDescent="0.2">
      <c r="A18" s="30">
        <v>17</v>
      </c>
      <c r="B18" s="31">
        <v>43528</v>
      </c>
      <c r="C18" s="30" t="s">
        <v>101</v>
      </c>
      <c r="D18" s="30" t="s">
        <v>19</v>
      </c>
      <c r="E18" s="30" t="s">
        <v>33</v>
      </c>
      <c r="F18" s="30" t="s">
        <v>34</v>
      </c>
      <c r="G18" s="32" t="s">
        <v>117</v>
      </c>
      <c r="H18" s="4">
        <v>368</v>
      </c>
      <c r="I18" s="32">
        <v>368</v>
      </c>
      <c r="J18" s="32">
        <f>I18*0.2</f>
        <v>73.600000000000009</v>
      </c>
      <c r="K18" s="34">
        <f>100/J18</f>
        <v>1.3586956521739129</v>
      </c>
      <c r="L18" s="34">
        <f>10-K18</f>
        <v>8.6413043478260878</v>
      </c>
      <c r="M18" s="34"/>
      <c r="N18"/>
      <c r="O18" s="35" t="s">
        <v>215</v>
      </c>
      <c r="P18" s="35">
        <v>2</v>
      </c>
    </row>
    <row r="19" spans="1:16" s="36" customFormat="1" x14ac:dyDescent="0.2">
      <c r="A19" s="30">
        <v>18</v>
      </c>
      <c r="B19" s="31">
        <v>43528</v>
      </c>
      <c r="C19" s="30" t="s">
        <v>101</v>
      </c>
      <c r="D19" s="30" t="s">
        <v>19</v>
      </c>
      <c r="E19" s="30" t="s">
        <v>33</v>
      </c>
      <c r="F19" s="30" t="s">
        <v>34</v>
      </c>
      <c r="G19" s="32" t="s">
        <v>116</v>
      </c>
      <c r="H19" s="4">
        <v>383</v>
      </c>
      <c r="I19" s="32">
        <v>383</v>
      </c>
      <c r="J19" s="32">
        <f>I19*0.2</f>
        <v>76.600000000000009</v>
      </c>
      <c r="K19" s="34">
        <f>100/J19</f>
        <v>1.3054830287206265</v>
      </c>
      <c r="L19" s="34">
        <f>10-K19</f>
        <v>8.6945169712793735</v>
      </c>
      <c r="M19" s="34"/>
      <c r="N19"/>
      <c r="O19" s="35" t="s">
        <v>5</v>
      </c>
      <c r="P19" s="35">
        <v>2</v>
      </c>
    </row>
    <row r="20" spans="1:16" s="36" customFormat="1" x14ac:dyDescent="0.2">
      <c r="A20" s="30">
        <v>19</v>
      </c>
      <c r="B20" s="31">
        <v>43547</v>
      </c>
      <c r="C20" s="30" t="s">
        <v>101</v>
      </c>
      <c r="D20" s="30" t="s">
        <v>5</v>
      </c>
      <c r="E20" s="30" t="s">
        <v>35</v>
      </c>
      <c r="F20" s="30" t="s">
        <v>36</v>
      </c>
      <c r="G20" s="32" t="s">
        <v>154</v>
      </c>
      <c r="H20" s="4">
        <v>301</v>
      </c>
      <c r="I20" s="32">
        <v>301</v>
      </c>
      <c r="J20" s="32">
        <f>I20*0.2</f>
        <v>60.2</v>
      </c>
      <c r="K20" s="34">
        <f>100/J20</f>
        <v>1.6611295681063123</v>
      </c>
      <c r="L20" s="34">
        <f>10-K20</f>
        <v>8.338870431893687</v>
      </c>
      <c r="M20" s="34"/>
      <c r="N20"/>
      <c r="O20" s="35" t="s">
        <v>210</v>
      </c>
      <c r="P20" s="35">
        <v>3</v>
      </c>
    </row>
    <row r="21" spans="1:16" s="36" customFormat="1" x14ac:dyDescent="0.2">
      <c r="A21" s="30">
        <v>20</v>
      </c>
      <c r="B21" s="31">
        <v>43549</v>
      </c>
      <c r="C21" s="30" t="s">
        <v>104</v>
      </c>
      <c r="D21" s="30" t="s">
        <v>5</v>
      </c>
      <c r="E21" s="30" t="s">
        <v>37</v>
      </c>
      <c r="F21" s="30" t="s">
        <v>38</v>
      </c>
      <c r="G21" s="32" t="s">
        <v>155</v>
      </c>
      <c r="H21" s="4">
        <v>275</v>
      </c>
      <c r="I21" s="32">
        <v>275</v>
      </c>
      <c r="J21" s="32">
        <f>I21*0.2</f>
        <v>55</v>
      </c>
      <c r="K21" s="34">
        <f>100/J21</f>
        <v>1.8181818181818181</v>
      </c>
      <c r="L21" s="34">
        <f>10-K21</f>
        <v>8.1818181818181817</v>
      </c>
      <c r="M21" s="34"/>
      <c r="N21"/>
      <c r="O21" s="35" t="s">
        <v>211</v>
      </c>
      <c r="P21" s="35">
        <v>3</v>
      </c>
    </row>
    <row r="22" spans="1:16" s="36" customFormat="1" x14ac:dyDescent="0.2">
      <c r="A22" s="30">
        <v>21</v>
      </c>
      <c r="B22" s="31">
        <v>43549</v>
      </c>
      <c r="C22" s="30" t="s">
        <v>104</v>
      </c>
      <c r="D22" s="30" t="s">
        <v>10</v>
      </c>
      <c r="E22" s="30" t="s">
        <v>37</v>
      </c>
      <c r="F22" s="30" t="s">
        <v>38</v>
      </c>
      <c r="G22" s="32" t="s">
        <v>156</v>
      </c>
      <c r="H22" s="4">
        <v>298</v>
      </c>
      <c r="I22" s="32">
        <v>298</v>
      </c>
      <c r="J22" s="32">
        <f>I22*0.2</f>
        <v>59.6</v>
      </c>
      <c r="K22" s="34">
        <f>100/J22</f>
        <v>1.6778523489932886</v>
      </c>
      <c r="L22" s="34">
        <f>10-K22</f>
        <v>8.3221476510067109</v>
      </c>
      <c r="M22" s="34"/>
      <c r="N22"/>
      <c r="O22" s="35" t="s">
        <v>212</v>
      </c>
      <c r="P22" s="35">
        <v>3</v>
      </c>
    </row>
    <row r="23" spans="1:16" s="36" customFormat="1" x14ac:dyDescent="0.2">
      <c r="A23" s="30">
        <v>22</v>
      </c>
      <c r="B23" s="31">
        <v>43580</v>
      </c>
      <c r="C23" s="30" t="s">
        <v>104</v>
      </c>
      <c r="D23" s="30" t="s">
        <v>10</v>
      </c>
      <c r="E23" s="30" t="s">
        <v>39</v>
      </c>
      <c r="F23" s="30" t="s">
        <v>40</v>
      </c>
      <c r="G23" s="32" t="s">
        <v>140</v>
      </c>
      <c r="H23" s="12" t="s">
        <v>205</v>
      </c>
      <c r="I23" s="32">
        <v>600</v>
      </c>
      <c r="J23" s="32">
        <f>I23*0.2</f>
        <v>120</v>
      </c>
      <c r="K23" s="34">
        <f>100/J23</f>
        <v>0.83333333333333337</v>
      </c>
      <c r="L23" s="34">
        <f>10-K23</f>
        <v>9.1666666666666661</v>
      </c>
      <c r="M23" s="34"/>
      <c r="N23"/>
      <c r="O23" s="35" t="s">
        <v>19</v>
      </c>
      <c r="P23" s="35">
        <v>3</v>
      </c>
    </row>
    <row r="24" spans="1:16" s="36" customFormat="1" x14ac:dyDescent="0.2">
      <c r="A24" s="30">
        <v>23</v>
      </c>
      <c r="B24" s="31">
        <v>43580</v>
      </c>
      <c r="C24" s="30" t="s">
        <v>104</v>
      </c>
      <c r="D24" s="30" t="s">
        <v>5</v>
      </c>
      <c r="E24" s="30" t="s">
        <v>39</v>
      </c>
      <c r="F24" s="30" t="s">
        <v>40</v>
      </c>
      <c r="G24" s="32" t="s">
        <v>141</v>
      </c>
      <c r="H24" s="4">
        <v>332</v>
      </c>
      <c r="I24" s="32">
        <v>332</v>
      </c>
      <c r="J24" s="32">
        <f>I24*0.2</f>
        <v>66.400000000000006</v>
      </c>
      <c r="K24" s="34">
        <f>100/J24</f>
        <v>1.506024096385542</v>
      </c>
      <c r="L24" s="34">
        <f>10-K24</f>
        <v>8.4939759036144586</v>
      </c>
      <c r="M24" s="34"/>
      <c r="N24"/>
      <c r="O24" s="35" t="s">
        <v>213</v>
      </c>
      <c r="P24" s="35">
        <v>3</v>
      </c>
    </row>
    <row r="25" spans="1:16" s="36" customFormat="1" x14ac:dyDescent="0.2">
      <c r="A25" s="30">
        <v>24</v>
      </c>
      <c r="B25" s="31">
        <v>43581</v>
      </c>
      <c r="C25" s="30" t="s">
        <v>104</v>
      </c>
      <c r="D25" s="30" t="s">
        <v>5</v>
      </c>
      <c r="E25" s="30" t="s">
        <v>41</v>
      </c>
      <c r="F25" s="30" t="s">
        <v>42</v>
      </c>
      <c r="G25" s="32" t="s">
        <v>142</v>
      </c>
      <c r="H25" s="4">
        <v>387</v>
      </c>
      <c r="I25" s="32">
        <v>387</v>
      </c>
      <c r="J25" s="32">
        <f>I25*0.2</f>
        <v>77.400000000000006</v>
      </c>
      <c r="K25" s="34">
        <f>100/J25</f>
        <v>1.2919896640826873</v>
      </c>
      <c r="L25" s="34">
        <f>10-K25</f>
        <v>8.7080103359173133</v>
      </c>
      <c r="M25" s="34"/>
      <c r="N25"/>
      <c r="O25" s="35" t="s">
        <v>214</v>
      </c>
      <c r="P25" s="35">
        <v>3</v>
      </c>
    </row>
    <row r="26" spans="1:16" s="36" customFormat="1" x14ac:dyDescent="0.2">
      <c r="A26" s="30">
        <v>25</v>
      </c>
      <c r="B26" s="31">
        <v>43581</v>
      </c>
      <c r="C26" s="30" t="s">
        <v>104</v>
      </c>
      <c r="D26" s="30" t="s">
        <v>5</v>
      </c>
      <c r="E26" s="30" t="s">
        <v>43</v>
      </c>
      <c r="F26" s="30" t="s">
        <v>44</v>
      </c>
      <c r="G26" s="32" t="s">
        <v>143</v>
      </c>
      <c r="H26" s="4">
        <v>329</v>
      </c>
      <c r="I26" s="32">
        <v>329</v>
      </c>
      <c r="J26" s="32">
        <f>I26*0.2</f>
        <v>65.8</v>
      </c>
      <c r="K26" s="34">
        <f>100/J26</f>
        <v>1.5197568389057752</v>
      </c>
      <c r="L26" s="34">
        <f>10-K26</f>
        <v>8.4802431610942257</v>
      </c>
      <c r="M26" s="34"/>
      <c r="N26"/>
      <c r="O26" s="35" t="s">
        <v>215</v>
      </c>
      <c r="P26" s="35">
        <v>3</v>
      </c>
    </row>
    <row r="27" spans="1:16" s="36" customFormat="1" x14ac:dyDescent="0.2">
      <c r="A27" s="30">
        <v>26</v>
      </c>
      <c r="B27" s="31">
        <v>43604</v>
      </c>
      <c r="C27" s="30" t="s">
        <v>101</v>
      </c>
      <c r="D27" s="30" t="s">
        <v>10</v>
      </c>
      <c r="E27" s="30" t="s">
        <v>45</v>
      </c>
      <c r="F27" s="30" t="s">
        <v>46</v>
      </c>
      <c r="G27" s="32" t="s">
        <v>166</v>
      </c>
      <c r="H27" s="12">
        <v>488</v>
      </c>
      <c r="I27" s="32">
        <v>488</v>
      </c>
      <c r="J27" s="32">
        <f>I27*0.2</f>
        <v>97.600000000000009</v>
      </c>
      <c r="K27" s="34">
        <f>100/J27</f>
        <v>1.0245901639344261</v>
      </c>
      <c r="L27" s="34">
        <f>10-K27</f>
        <v>8.9754098360655732</v>
      </c>
      <c r="M27" s="34"/>
      <c r="N27" s="13" t="s">
        <v>157</v>
      </c>
      <c r="O27" s="35" t="s">
        <v>5</v>
      </c>
      <c r="P27" s="35">
        <v>3</v>
      </c>
    </row>
    <row r="28" spans="1:16" s="36" customFormat="1" x14ac:dyDescent="0.2">
      <c r="A28" s="30">
        <v>27</v>
      </c>
      <c r="B28" s="31">
        <v>43699</v>
      </c>
      <c r="C28" s="30" t="s">
        <v>102</v>
      </c>
      <c r="D28" s="30" t="s">
        <v>10</v>
      </c>
      <c r="E28" s="30" t="s">
        <v>47</v>
      </c>
      <c r="F28" s="30" t="s">
        <v>48</v>
      </c>
      <c r="G28" s="32" t="s">
        <v>120</v>
      </c>
      <c r="H28" s="12" t="s">
        <v>205</v>
      </c>
      <c r="I28" s="32">
        <v>485</v>
      </c>
      <c r="J28" s="32">
        <f>I28*0.2</f>
        <v>97</v>
      </c>
      <c r="K28" s="34">
        <f>100/J28</f>
        <v>1.0309278350515463</v>
      </c>
      <c r="L28" s="34">
        <f>10-K28</f>
        <v>8.9690721649484537</v>
      </c>
      <c r="M28" s="34"/>
      <c r="N28"/>
      <c r="O28" s="35" t="s">
        <v>210</v>
      </c>
      <c r="P28" s="35">
        <v>4</v>
      </c>
    </row>
    <row r="29" spans="1:16" s="36" customFormat="1" x14ac:dyDescent="0.2">
      <c r="A29" s="30">
        <v>28</v>
      </c>
      <c r="B29" s="31">
        <v>43742</v>
      </c>
      <c r="C29" s="30" t="s">
        <v>102</v>
      </c>
      <c r="D29" s="30" t="s">
        <v>10</v>
      </c>
      <c r="E29" s="30" t="s">
        <v>49</v>
      </c>
      <c r="F29" s="30" t="s">
        <v>50</v>
      </c>
      <c r="G29" s="32" t="s">
        <v>135</v>
      </c>
      <c r="H29" s="12" t="s">
        <v>205</v>
      </c>
      <c r="I29" s="32">
        <v>370</v>
      </c>
      <c r="J29" s="32">
        <f>I29*0.2</f>
        <v>74</v>
      </c>
      <c r="K29" s="34">
        <f>100/J29</f>
        <v>1.3513513513513513</v>
      </c>
      <c r="L29" s="34">
        <f>10-K29</f>
        <v>8.6486486486486491</v>
      </c>
      <c r="M29" s="34"/>
      <c r="N29"/>
      <c r="O29" s="35" t="s">
        <v>211</v>
      </c>
      <c r="P29" s="35">
        <v>4</v>
      </c>
    </row>
    <row r="30" spans="1:16" s="36" customFormat="1" ht="15.75" customHeight="1" x14ac:dyDescent="0.2">
      <c r="A30" s="30">
        <v>29</v>
      </c>
      <c r="B30" s="31">
        <v>43753</v>
      </c>
      <c r="C30" s="30" t="s">
        <v>102</v>
      </c>
      <c r="D30" s="30" t="s">
        <v>5</v>
      </c>
      <c r="E30" s="30" t="s">
        <v>51</v>
      </c>
      <c r="F30" s="30" t="s">
        <v>52</v>
      </c>
      <c r="G30" s="32" t="s">
        <v>138</v>
      </c>
      <c r="H30" s="4">
        <v>38.6</v>
      </c>
      <c r="I30" s="32">
        <v>38.6</v>
      </c>
      <c r="J30" s="32">
        <f>I30*0.2</f>
        <v>7.7200000000000006</v>
      </c>
      <c r="K30" s="34">
        <f>100/J30</f>
        <v>12.953367875647666</v>
      </c>
      <c r="L30" s="34">
        <f>10-K30</f>
        <v>-2.9533678756476665</v>
      </c>
      <c r="M30" s="34"/>
      <c r="N30"/>
      <c r="O30" s="35" t="s">
        <v>212</v>
      </c>
      <c r="P30" s="35">
        <v>4</v>
      </c>
    </row>
    <row r="31" spans="1:16" s="36" customFormat="1" ht="15.75" customHeight="1" x14ac:dyDescent="0.2">
      <c r="A31" s="30">
        <v>30</v>
      </c>
      <c r="B31" s="31">
        <v>43758</v>
      </c>
      <c r="C31" s="30" t="s">
        <v>102</v>
      </c>
      <c r="D31" s="30" t="s">
        <v>5</v>
      </c>
      <c r="E31" s="30" t="s">
        <v>53</v>
      </c>
      <c r="F31" s="30" t="s">
        <v>54</v>
      </c>
      <c r="G31" s="32" t="s">
        <v>124</v>
      </c>
      <c r="H31" s="12" t="s">
        <v>205</v>
      </c>
      <c r="I31" s="32">
        <v>411</v>
      </c>
      <c r="J31" s="32">
        <f>I31*0.2</f>
        <v>82.2</v>
      </c>
      <c r="K31" s="34">
        <f>100/J31</f>
        <v>1.2165450121654502</v>
      </c>
      <c r="L31" s="34">
        <f>10-K31</f>
        <v>8.7834549878345491</v>
      </c>
      <c r="M31" s="34"/>
      <c r="N31"/>
      <c r="O31" s="35" t="s">
        <v>19</v>
      </c>
      <c r="P31" s="35">
        <v>4</v>
      </c>
    </row>
    <row r="32" spans="1:16" s="36" customFormat="1" ht="15.75" customHeight="1" x14ac:dyDescent="0.2">
      <c r="A32" s="30">
        <v>31</v>
      </c>
      <c r="B32" s="31">
        <v>43762</v>
      </c>
      <c r="C32" s="30" t="s">
        <v>104</v>
      </c>
      <c r="D32" s="37" t="s">
        <v>55</v>
      </c>
      <c r="E32" s="30" t="s">
        <v>56</v>
      </c>
      <c r="F32" s="30" t="s">
        <v>57</v>
      </c>
      <c r="G32" s="32" t="s">
        <v>121</v>
      </c>
      <c r="H32" s="12" t="s">
        <v>205</v>
      </c>
      <c r="I32" s="32">
        <v>134</v>
      </c>
      <c r="J32" s="32">
        <f>I32*0.2</f>
        <v>26.8</v>
      </c>
      <c r="K32" s="34">
        <f>100/J32</f>
        <v>3.7313432835820897</v>
      </c>
      <c r="L32" s="34">
        <f>10-K32</f>
        <v>6.2686567164179099</v>
      </c>
      <c r="M32" s="34"/>
      <c r="N32"/>
      <c r="O32" s="35" t="s">
        <v>213</v>
      </c>
      <c r="P32" s="35">
        <v>4</v>
      </c>
    </row>
    <row r="33" spans="1:16" s="36" customFormat="1" ht="15.75" customHeight="1" x14ac:dyDescent="0.2">
      <c r="A33" s="30">
        <v>32</v>
      </c>
      <c r="B33" s="31">
        <v>43798</v>
      </c>
      <c r="C33" s="30" t="s">
        <v>104</v>
      </c>
      <c r="D33" s="37" t="s">
        <v>58</v>
      </c>
      <c r="E33" s="30" t="s">
        <v>59</v>
      </c>
      <c r="F33" s="30" t="s">
        <v>60</v>
      </c>
      <c r="G33" s="32" t="s">
        <v>139</v>
      </c>
      <c r="H33" s="4">
        <v>448</v>
      </c>
      <c r="I33" s="32">
        <v>448</v>
      </c>
      <c r="J33" s="32">
        <f>I33*0.2</f>
        <v>89.600000000000009</v>
      </c>
      <c r="K33" s="34">
        <f>100/J33</f>
        <v>1.1160714285714284</v>
      </c>
      <c r="L33" s="34">
        <f>10-K33</f>
        <v>8.8839285714285712</v>
      </c>
      <c r="M33" s="34"/>
      <c r="N33"/>
      <c r="O33" s="35" t="s">
        <v>214</v>
      </c>
      <c r="P33" s="35">
        <v>4</v>
      </c>
    </row>
    <row r="34" spans="1:16" s="36" customFormat="1" ht="15.75" customHeight="1" x14ac:dyDescent="0.2">
      <c r="A34" s="30">
        <v>33</v>
      </c>
      <c r="B34" s="31">
        <v>43798</v>
      </c>
      <c r="C34" s="30" t="s">
        <v>104</v>
      </c>
      <c r="D34" s="30" t="s">
        <v>5</v>
      </c>
      <c r="E34" s="30" t="s">
        <v>59</v>
      </c>
      <c r="F34" s="30" t="s">
        <v>60</v>
      </c>
      <c r="G34" s="32" t="s">
        <v>134</v>
      </c>
      <c r="H34" s="4">
        <v>370</v>
      </c>
      <c r="I34" s="32">
        <v>370</v>
      </c>
      <c r="J34" s="32">
        <f>I34*0.2</f>
        <v>74</v>
      </c>
      <c r="K34" s="34">
        <f>100/J34</f>
        <v>1.3513513513513513</v>
      </c>
      <c r="L34" s="34">
        <f>10-K34</f>
        <v>8.6486486486486491</v>
      </c>
      <c r="M34" s="34"/>
      <c r="N34"/>
      <c r="O34" s="35" t="s">
        <v>215</v>
      </c>
      <c r="P34" s="35">
        <v>4</v>
      </c>
    </row>
    <row r="35" spans="1:16" s="36" customFormat="1" ht="15.75" customHeight="1" x14ac:dyDescent="0.2">
      <c r="A35" s="30">
        <v>34</v>
      </c>
      <c r="B35" s="31">
        <v>43851</v>
      </c>
      <c r="C35" s="30" t="s">
        <v>103</v>
      </c>
      <c r="D35" s="30" t="s">
        <v>5</v>
      </c>
      <c r="E35" s="30" t="s">
        <v>61</v>
      </c>
      <c r="F35" s="30" t="s">
        <v>62</v>
      </c>
      <c r="G35" s="32" t="s">
        <v>119</v>
      </c>
      <c r="H35" s="12" t="s">
        <v>205</v>
      </c>
      <c r="I35" s="32">
        <v>590</v>
      </c>
      <c r="J35" s="32">
        <f>I35*0.2</f>
        <v>118</v>
      </c>
      <c r="K35" s="34">
        <f>100/J35</f>
        <v>0.84745762711864403</v>
      </c>
      <c r="L35" s="34">
        <f>10-K35</f>
        <v>9.1525423728813564</v>
      </c>
      <c r="M35" s="34"/>
      <c r="N35"/>
      <c r="O35" s="35" t="s">
        <v>5</v>
      </c>
      <c r="P35" s="35">
        <v>4</v>
      </c>
    </row>
    <row r="36" spans="1:16" ht="15.75" customHeight="1" x14ac:dyDescent="0.2">
      <c r="A36" s="10">
        <v>35</v>
      </c>
      <c r="B36" s="11">
        <v>43869</v>
      </c>
      <c r="C36" s="10" t="s">
        <v>103</v>
      </c>
      <c r="D36" s="10" t="s">
        <v>10</v>
      </c>
      <c r="E36" s="10" t="s">
        <v>63</v>
      </c>
      <c r="F36" s="10" t="s">
        <v>64</v>
      </c>
      <c r="G36" s="12" t="s">
        <v>128</v>
      </c>
      <c r="H36" s="4">
        <v>379</v>
      </c>
      <c r="I36" s="12">
        <v>379</v>
      </c>
      <c r="J36" s="12">
        <f>I36*0.2</f>
        <v>75.8</v>
      </c>
      <c r="K36" s="27">
        <f>100/J36</f>
        <v>1.3192612137203166</v>
      </c>
      <c r="L36" s="27">
        <f>10-K36</f>
        <v>8.680738786279683</v>
      </c>
      <c r="M36" s="27"/>
      <c r="N36" s="12" t="s">
        <v>129</v>
      </c>
      <c r="O36" s="19" t="s">
        <v>210</v>
      </c>
      <c r="P36" s="19">
        <v>5</v>
      </c>
    </row>
    <row r="37" spans="1:16" ht="15.75" customHeight="1" x14ac:dyDescent="0.2">
      <c r="A37" s="10">
        <v>36</v>
      </c>
      <c r="B37" s="11">
        <v>43886</v>
      </c>
      <c r="C37" s="10" t="s">
        <v>103</v>
      </c>
      <c r="D37" s="10" t="s">
        <v>5</v>
      </c>
      <c r="E37" s="10" t="s">
        <v>65</v>
      </c>
      <c r="F37" s="10" t="s">
        <v>66</v>
      </c>
      <c r="G37" s="12" t="s">
        <v>136</v>
      </c>
      <c r="H37" s="12" t="s">
        <v>205</v>
      </c>
      <c r="I37" s="12">
        <v>540</v>
      </c>
      <c r="J37" s="12">
        <f>I37*0.2</f>
        <v>108</v>
      </c>
      <c r="K37" s="27">
        <f>100/J37</f>
        <v>0.92592592592592593</v>
      </c>
      <c r="L37" s="27">
        <f>10-K37</f>
        <v>9.0740740740740744</v>
      </c>
      <c r="M37" s="27"/>
      <c r="O37" s="19" t="s">
        <v>211</v>
      </c>
      <c r="P37" s="19">
        <v>5</v>
      </c>
    </row>
    <row r="38" spans="1:16" s="9" customFormat="1" ht="15.75" customHeight="1" x14ac:dyDescent="0.2">
      <c r="A38" s="6">
        <v>37</v>
      </c>
      <c r="B38" s="7">
        <v>43897</v>
      </c>
      <c r="C38" s="6" t="s">
        <v>104</v>
      </c>
      <c r="D38" s="6" t="s">
        <v>10</v>
      </c>
      <c r="E38" s="6" t="s">
        <v>67</v>
      </c>
      <c r="F38" s="6" t="s">
        <v>68</v>
      </c>
      <c r="G38" s="8"/>
      <c r="H38" s="8"/>
      <c r="I38" s="8"/>
      <c r="J38" s="8"/>
      <c r="K38" s="8"/>
      <c r="L38" s="8"/>
      <c r="M38" s="8"/>
      <c r="O38" t="s">
        <v>212</v>
      </c>
      <c r="P38">
        <v>3</v>
      </c>
    </row>
    <row r="39" spans="1:16" ht="15.75" customHeight="1" x14ac:dyDescent="0.2">
      <c r="A39" s="10">
        <v>38</v>
      </c>
      <c r="B39" s="11">
        <v>43903</v>
      </c>
      <c r="C39" s="10" t="s">
        <v>103</v>
      </c>
      <c r="D39" s="10" t="s">
        <v>10</v>
      </c>
      <c r="E39" s="10" t="s">
        <v>69</v>
      </c>
      <c r="F39" s="10" t="s">
        <v>70</v>
      </c>
      <c r="G39" s="12" t="s">
        <v>130</v>
      </c>
      <c r="H39" s="12" t="s">
        <v>205</v>
      </c>
      <c r="I39" s="12">
        <v>162</v>
      </c>
      <c r="J39" s="12">
        <f>I39*0.2</f>
        <v>32.4</v>
      </c>
      <c r="K39" s="27">
        <f>100/J39</f>
        <v>3.0864197530864197</v>
      </c>
      <c r="L39" s="27">
        <f>10-K39</f>
        <v>6.9135802469135808</v>
      </c>
      <c r="M39" s="27"/>
      <c r="N39" s="12" t="s">
        <v>129</v>
      </c>
      <c r="O39" s="19" t="s">
        <v>19</v>
      </c>
      <c r="P39" s="19">
        <v>5</v>
      </c>
    </row>
    <row r="40" spans="1:16" ht="15.75" customHeight="1" x14ac:dyDescent="0.2">
      <c r="A40" s="10">
        <v>39</v>
      </c>
      <c r="B40" s="11">
        <v>43906</v>
      </c>
      <c r="C40" s="10" t="s">
        <v>101</v>
      </c>
      <c r="D40" s="10" t="s">
        <v>10</v>
      </c>
      <c r="E40" s="10" t="s">
        <v>71</v>
      </c>
      <c r="F40" s="10" t="s">
        <v>72</v>
      </c>
      <c r="G40" s="12" t="s">
        <v>151</v>
      </c>
      <c r="H40" s="4">
        <v>224</v>
      </c>
      <c r="I40" s="12">
        <v>224</v>
      </c>
      <c r="J40" s="12">
        <f>I40*0.2</f>
        <v>44.800000000000004</v>
      </c>
      <c r="K40" s="27">
        <f>100/J40</f>
        <v>2.2321428571428568</v>
      </c>
      <c r="L40" s="27">
        <f>10-K40</f>
        <v>7.7678571428571432</v>
      </c>
      <c r="M40" s="27"/>
      <c r="N40" s="22"/>
      <c r="O40" s="19" t="s">
        <v>213</v>
      </c>
      <c r="P40" s="19">
        <v>5</v>
      </c>
    </row>
    <row r="41" spans="1:16" ht="15.75" customHeight="1" x14ac:dyDescent="0.2">
      <c r="A41" s="10">
        <v>40</v>
      </c>
      <c r="B41" s="11">
        <v>43906</v>
      </c>
      <c r="C41" s="10" t="s">
        <v>100</v>
      </c>
      <c r="D41" s="10" t="s">
        <v>10</v>
      </c>
      <c r="E41" s="10" t="s">
        <v>71</v>
      </c>
      <c r="F41" s="10" t="s">
        <v>72</v>
      </c>
      <c r="G41" s="12" t="s">
        <v>150</v>
      </c>
      <c r="H41" s="12" t="s">
        <v>205</v>
      </c>
      <c r="I41" s="12">
        <v>560</v>
      </c>
      <c r="J41" s="12">
        <f>I41*0.2</f>
        <v>112</v>
      </c>
      <c r="K41" s="27">
        <f>100/J41</f>
        <v>0.8928571428571429</v>
      </c>
      <c r="L41" s="27">
        <f>10-K41</f>
        <v>9.1071428571428577</v>
      </c>
      <c r="M41" s="27"/>
      <c r="O41" s="19" t="s">
        <v>214</v>
      </c>
      <c r="P41" s="19">
        <v>5</v>
      </c>
    </row>
    <row r="42" spans="1:16" ht="15.75" customHeight="1" x14ac:dyDescent="0.2">
      <c r="A42" s="10">
        <v>41</v>
      </c>
      <c r="B42" s="11">
        <v>43907</v>
      </c>
      <c r="C42" s="10" t="s">
        <v>101</v>
      </c>
      <c r="D42" s="10" t="s">
        <v>10</v>
      </c>
      <c r="E42" s="10" t="s">
        <v>73</v>
      </c>
      <c r="F42" s="10" t="s">
        <v>74</v>
      </c>
      <c r="G42" s="12" t="s">
        <v>152</v>
      </c>
      <c r="H42" s="12" t="s">
        <v>205</v>
      </c>
      <c r="I42" s="12">
        <v>550</v>
      </c>
      <c r="J42" s="12">
        <f>I42*0.2</f>
        <v>110</v>
      </c>
      <c r="K42" s="27">
        <f>100/J42</f>
        <v>0.90909090909090906</v>
      </c>
      <c r="L42" s="27">
        <f>10-K42</f>
        <v>9.0909090909090917</v>
      </c>
      <c r="M42" s="27"/>
      <c r="O42" s="19" t="s">
        <v>215</v>
      </c>
      <c r="P42" s="19">
        <v>5</v>
      </c>
    </row>
    <row r="43" spans="1:16" ht="15.75" customHeight="1" x14ac:dyDescent="0.2">
      <c r="A43" s="10">
        <v>42</v>
      </c>
      <c r="B43" s="11">
        <v>43910</v>
      </c>
      <c r="C43" s="10" t="s">
        <v>101</v>
      </c>
      <c r="D43" s="10" t="s">
        <v>10</v>
      </c>
      <c r="E43" s="10" t="s">
        <v>75</v>
      </c>
      <c r="F43" s="10" t="s">
        <v>74</v>
      </c>
      <c r="G43" s="12" t="s">
        <v>153</v>
      </c>
      <c r="H43" s="12">
        <v>222</v>
      </c>
      <c r="I43" s="12">
        <v>222</v>
      </c>
      <c r="J43" s="12">
        <f>I43*0.2</f>
        <v>44.400000000000006</v>
      </c>
      <c r="K43" s="27">
        <f>100/J43</f>
        <v>2.2522522522522519</v>
      </c>
      <c r="L43" s="27">
        <f>10-K43</f>
        <v>7.7477477477477485</v>
      </c>
      <c r="M43" s="27"/>
      <c r="N43" s="13"/>
      <c r="O43" s="19" t="s">
        <v>5</v>
      </c>
      <c r="P43" s="19">
        <v>5</v>
      </c>
    </row>
    <row r="44" spans="1:16" s="9" customFormat="1" ht="15.75" customHeight="1" x14ac:dyDescent="0.2">
      <c r="A44" s="6">
        <v>43</v>
      </c>
      <c r="B44" s="7">
        <v>43910</v>
      </c>
      <c r="C44" s="6" t="s">
        <v>100</v>
      </c>
      <c r="D44" s="6" t="s">
        <v>5</v>
      </c>
      <c r="E44" s="6" t="s">
        <v>76</v>
      </c>
      <c r="F44" s="6" t="s">
        <v>77</v>
      </c>
      <c r="G44" s="8"/>
      <c r="H44" s="8"/>
      <c r="I44" s="8"/>
      <c r="J44" s="8"/>
      <c r="K44" s="8"/>
      <c r="L44" s="8"/>
      <c r="M44" s="8"/>
    </row>
    <row r="45" spans="1:16" ht="15.75" customHeight="1" x14ac:dyDescent="0.2">
      <c r="A45" s="10">
        <v>44</v>
      </c>
      <c r="B45" s="11">
        <v>44014</v>
      </c>
      <c r="C45" s="10" t="s">
        <v>104</v>
      </c>
      <c r="D45" s="10" t="s">
        <v>5</v>
      </c>
      <c r="E45" s="10" t="s">
        <v>43</v>
      </c>
      <c r="F45" s="14" t="s">
        <v>106</v>
      </c>
      <c r="G45" s="15" t="s">
        <v>127</v>
      </c>
      <c r="H45" s="5">
        <v>580</v>
      </c>
      <c r="I45" s="15">
        <v>580</v>
      </c>
      <c r="J45" s="12">
        <f>I45*0.2</f>
        <v>116</v>
      </c>
      <c r="K45" s="27">
        <f>100/J45</f>
        <v>0.86206896551724133</v>
      </c>
      <c r="L45" s="27">
        <f>10-K45</f>
        <v>9.137931034482758</v>
      </c>
      <c r="M45" s="27"/>
      <c r="O45" s="19" t="s">
        <v>210</v>
      </c>
      <c r="P45" s="19">
        <v>6</v>
      </c>
    </row>
    <row r="46" spans="1:16" ht="15.75" customHeight="1" x14ac:dyDescent="0.2">
      <c r="A46" s="10">
        <v>45</v>
      </c>
      <c r="B46" s="11">
        <v>44035</v>
      </c>
      <c r="C46" s="10" t="s">
        <v>100</v>
      </c>
      <c r="D46" s="10" t="s">
        <v>10</v>
      </c>
      <c r="E46" s="10" t="s">
        <v>78</v>
      </c>
      <c r="F46" s="10" t="s">
        <v>79</v>
      </c>
      <c r="G46" s="12" t="s">
        <v>126</v>
      </c>
      <c r="H46" s="4">
        <v>395</v>
      </c>
      <c r="I46" s="12">
        <v>395</v>
      </c>
      <c r="J46" s="12">
        <f>I46*0.2</f>
        <v>79</v>
      </c>
      <c r="K46" s="27">
        <f>100/J46</f>
        <v>1.2658227848101267</v>
      </c>
      <c r="L46" s="27">
        <f>10-K46</f>
        <v>8.7341772151898738</v>
      </c>
      <c r="M46" s="27"/>
      <c r="O46" s="19" t="s">
        <v>211</v>
      </c>
      <c r="P46" s="19">
        <v>6</v>
      </c>
    </row>
    <row r="47" spans="1:16" ht="15.75" customHeight="1" x14ac:dyDescent="0.2">
      <c r="A47" s="10">
        <v>46</v>
      </c>
      <c r="B47" s="11">
        <v>44053</v>
      </c>
      <c r="C47" s="10" t="s">
        <v>102</v>
      </c>
      <c r="D47" s="10" t="s">
        <v>19</v>
      </c>
      <c r="E47" s="10" t="s">
        <v>80</v>
      </c>
      <c r="F47" s="14" t="s">
        <v>81</v>
      </c>
      <c r="G47" s="15" t="s">
        <v>114</v>
      </c>
      <c r="H47" s="5">
        <v>453</v>
      </c>
      <c r="I47" s="15">
        <v>453</v>
      </c>
      <c r="J47" s="12">
        <f>I47*0.2</f>
        <v>90.600000000000009</v>
      </c>
      <c r="K47" s="27">
        <f>100/J47</f>
        <v>1.1037527593818983</v>
      </c>
      <c r="L47" s="27">
        <f>10-K47</f>
        <v>8.8962472406181021</v>
      </c>
      <c r="M47" s="27"/>
      <c r="O47" s="19" t="s">
        <v>212</v>
      </c>
      <c r="P47" s="19">
        <v>6</v>
      </c>
    </row>
    <row r="48" spans="1:16" ht="15.75" customHeight="1" x14ac:dyDescent="0.2">
      <c r="A48" s="10">
        <v>47</v>
      </c>
      <c r="B48" s="11">
        <v>44090</v>
      </c>
      <c r="C48" s="10" t="s">
        <v>100</v>
      </c>
      <c r="D48" s="10" t="s">
        <v>5</v>
      </c>
      <c r="E48" s="10" t="s">
        <v>82</v>
      </c>
      <c r="F48" s="14" t="s">
        <v>83</v>
      </c>
      <c r="G48" s="15" t="s">
        <v>115</v>
      </c>
      <c r="H48" s="5">
        <v>446</v>
      </c>
      <c r="I48" s="15">
        <v>446</v>
      </c>
      <c r="J48" s="12">
        <f>I48*0.2</f>
        <v>89.2</v>
      </c>
      <c r="K48" s="27">
        <f>100/J48</f>
        <v>1.1210762331838564</v>
      </c>
      <c r="L48" s="27">
        <f>10-K48</f>
        <v>8.8789237668161434</v>
      </c>
      <c r="M48" s="27"/>
      <c r="O48" s="19" t="s">
        <v>19</v>
      </c>
      <c r="P48" s="19">
        <v>6</v>
      </c>
    </row>
    <row r="49" spans="1:16" ht="15.75" customHeight="1" x14ac:dyDescent="0.2">
      <c r="A49" s="10">
        <v>48</v>
      </c>
      <c r="B49" s="11">
        <v>44115</v>
      </c>
      <c r="C49" s="10" t="s">
        <v>100</v>
      </c>
      <c r="D49" s="14" t="s">
        <v>84</v>
      </c>
      <c r="E49" s="10" t="s">
        <v>85</v>
      </c>
      <c r="F49" s="10" t="s">
        <v>86</v>
      </c>
      <c r="G49" s="12" t="s">
        <v>132</v>
      </c>
      <c r="H49" s="12">
        <v>600</v>
      </c>
      <c r="I49" s="12">
        <v>600</v>
      </c>
      <c r="J49" s="12">
        <f>I49*0.2</f>
        <v>120</v>
      </c>
      <c r="K49" s="27">
        <f>100/J49</f>
        <v>0.83333333333333337</v>
      </c>
      <c r="L49" s="27">
        <f>10-K49</f>
        <v>9.1666666666666661</v>
      </c>
      <c r="M49" s="27"/>
      <c r="N49" s="13"/>
      <c r="O49" s="19" t="s">
        <v>213</v>
      </c>
      <c r="P49" s="19">
        <v>6</v>
      </c>
    </row>
    <row r="50" spans="1:16" ht="15.75" customHeight="1" x14ac:dyDescent="0.2">
      <c r="A50" s="10">
        <v>49</v>
      </c>
      <c r="B50" s="11">
        <v>44115</v>
      </c>
      <c r="C50" s="10" t="s">
        <v>102</v>
      </c>
      <c r="D50" s="10" t="s">
        <v>10</v>
      </c>
      <c r="E50" s="10" t="s">
        <v>87</v>
      </c>
      <c r="F50" s="14" t="s">
        <v>107</v>
      </c>
      <c r="G50" s="15" t="s">
        <v>131</v>
      </c>
      <c r="H50" s="15" t="s">
        <v>205</v>
      </c>
      <c r="I50" s="15">
        <v>134</v>
      </c>
      <c r="J50" s="12">
        <f>I50*0.2</f>
        <v>26.8</v>
      </c>
      <c r="K50" s="27">
        <f>100/J50</f>
        <v>3.7313432835820897</v>
      </c>
      <c r="L50" s="27">
        <f>10-K50</f>
        <v>6.2686567164179099</v>
      </c>
      <c r="M50" s="27"/>
      <c r="N50" s="13"/>
      <c r="O50" s="19" t="s">
        <v>214</v>
      </c>
      <c r="P50" s="19">
        <v>6</v>
      </c>
    </row>
    <row r="51" spans="1:16" ht="15.75" customHeight="1" x14ac:dyDescent="0.2">
      <c r="A51" s="10">
        <v>50</v>
      </c>
      <c r="B51" s="11">
        <v>44189</v>
      </c>
      <c r="C51" s="10" t="s">
        <v>104</v>
      </c>
      <c r="D51" s="10" t="s">
        <v>5</v>
      </c>
      <c r="E51" s="10" t="s">
        <v>88</v>
      </c>
      <c r="F51" s="10" t="s">
        <v>89</v>
      </c>
      <c r="G51" s="12" t="s">
        <v>133</v>
      </c>
      <c r="H51" s="12" t="s">
        <v>205</v>
      </c>
      <c r="I51" s="12">
        <v>590</v>
      </c>
      <c r="J51" s="12">
        <f>I51*0.2</f>
        <v>118</v>
      </c>
      <c r="K51" s="27">
        <f>100/J51</f>
        <v>0.84745762711864403</v>
      </c>
      <c r="L51" s="27">
        <f>10-K51</f>
        <v>9.1525423728813564</v>
      </c>
      <c r="M51" s="27"/>
      <c r="O51" s="19" t="s">
        <v>215</v>
      </c>
      <c r="P51" s="19">
        <v>6</v>
      </c>
    </row>
    <row r="52" spans="1:16" ht="15.75" customHeight="1" x14ac:dyDescent="0.2">
      <c r="A52" s="10">
        <v>51</v>
      </c>
      <c r="B52" s="11">
        <v>44267</v>
      </c>
      <c r="C52" s="10" t="s">
        <v>104</v>
      </c>
      <c r="D52" s="10" t="s">
        <v>19</v>
      </c>
      <c r="E52" s="10" t="s">
        <v>90</v>
      </c>
      <c r="F52" s="10" t="s">
        <v>91</v>
      </c>
      <c r="G52" s="12" t="s">
        <v>109</v>
      </c>
      <c r="H52" s="12" t="s">
        <v>205</v>
      </c>
      <c r="I52" s="12">
        <v>540</v>
      </c>
      <c r="J52" s="12">
        <f>I52*0.2</f>
        <v>108</v>
      </c>
      <c r="K52" s="27">
        <f>100/J52</f>
        <v>0.92592592592592593</v>
      </c>
      <c r="L52" s="27">
        <f>10-K52</f>
        <v>9.0740740740740744</v>
      </c>
      <c r="M52" s="27"/>
      <c r="O52" s="19" t="s">
        <v>5</v>
      </c>
      <c r="P52" s="19">
        <v>6</v>
      </c>
    </row>
    <row r="53" spans="1:16" ht="15.75" customHeight="1" x14ac:dyDescent="0.2">
      <c r="A53" s="10">
        <v>52</v>
      </c>
      <c r="B53" s="11">
        <v>44268</v>
      </c>
      <c r="C53" s="10" t="s">
        <v>104</v>
      </c>
      <c r="D53" s="10" t="s">
        <v>5</v>
      </c>
      <c r="E53" s="10" t="s">
        <v>92</v>
      </c>
      <c r="F53" s="10" t="s">
        <v>93</v>
      </c>
      <c r="G53" s="12" t="s">
        <v>110</v>
      </c>
      <c r="H53" s="12" t="s">
        <v>205</v>
      </c>
      <c r="I53" s="12">
        <v>489</v>
      </c>
      <c r="J53" s="12">
        <f>I53*0.2</f>
        <v>97.800000000000011</v>
      </c>
      <c r="K53" s="27">
        <f>100/J53</f>
        <v>1.0224948875255622</v>
      </c>
      <c r="L53" s="27">
        <f>10-K53</f>
        <v>8.9775051124744376</v>
      </c>
      <c r="M53" s="27"/>
      <c r="O53" s="19" t="s">
        <v>210</v>
      </c>
      <c r="P53" s="19">
        <v>7</v>
      </c>
    </row>
    <row r="54" spans="1:16" s="9" customFormat="1" ht="15.75" customHeight="1" x14ac:dyDescent="0.2">
      <c r="A54" s="6">
        <v>53</v>
      </c>
      <c r="B54" s="7">
        <v>44276</v>
      </c>
      <c r="C54" s="6" t="s">
        <v>105</v>
      </c>
      <c r="D54" s="6" t="s">
        <v>10</v>
      </c>
      <c r="E54" s="6" t="s">
        <v>94</v>
      </c>
      <c r="F54" s="6" t="s">
        <v>95</v>
      </c>
      <c r="G54" s="8"/>
      <c r="H54" s="8"/>
      <c r="I54" s="8"/>
      <c r="J54" s="8"/>
      <c r="K54" s="8"/>
      <c r="L54" s="8"/>
      <c r="M54" s="8"/>
      <c r="O54" t="s">
        <v>211</v>
      </c>
      <c r="P54">
        <v>2</v>
      </c>
    </row>
    <row r="55" spans="1:16" ht="15.75" customHeight="1" x14ac:dyDescent="0.2">
      <c r="A55" s="10">
        <v>54</v>
      </c>
      <c r="B55" s="11">
        <v>44278</v>
      </c>
      <c r="C55" s="10" t="s">
        <v>105</v>
      </c>
      <c r="D55" s="10" t="s">
        <v>10</v>
      </c>
      <c r="E55" s="10" t="s">
        <v>94</v>
      </c>
      <c r="F55" s="10" t="s">
        <v>95</v>
      </c>
      <c r="G55" s="12" t="s">
        <v>111</v>
      </c>
      <c r="H55" s="12" t="s">
        <v>205</v>
      </c>
      <c r="I55" s="12">
        <v>600</v>
      </c>
      <c r="J55" s="12">
        <f>I55*0.2</f>
        <v>120</v>
      </c>
      <c r="K55" s="27">
        <f>100/J55</f>
        <v>0.83333333333333337</v>
      </c>
      <c r="L55" s="27">
        <f>10-K55</f>
        <v>9.1666666666666661</v>
      </c>
      <c r="M55" s="27"/>
      <c r="N55" s="13"/>
      <c r="O55" s="19" t="s">
        <v>212</v>
      </c>
      <c r="P55" s="19">
        <v>7</v>
      </c>
    </row>
    <row r="56" spans="1:16" ht="15.75" customHeight="1" x14ac:dyDescent="0.2">
      <c r="A56" s="10">
        <v>55</v>
      </c>
      <c r="B56" s="11">
        <v>44278</v>
      </c>
      <c r="C56" s="10" t="s">
        <v>105</v>
      </c>
      <c r="D56" s="10" t="s">
        <v>10</v>
      </c>
      <c r="E56" s="10" t="s">
        <v>94</v>
      </c>
      <c r="F56" s="10" t="s">
        <v>95</v>
      </c>
      <c r="G56" s="12" t="s">
        <v>112</v>
      </c>
      <c r="H56" s="12" t="s">
        <v>205</v>
      </c>
      <c r="I56" s="12">
        <v>492</v>
      </c>
      <c r="J56" s="12">
        <f>I56*0.2</f>
        <v>98.4</v>
      </c>
      <c r="K56" s="27">
        <f>100/J56</f>
        <v>1.0162601626016259</v>
      </c>
      <c r="L56" s="27">
        <f>10-K56</f>
        <v>8.9837398373983746</v>
      </c>
      <c r="M56" s="27"/>
      <c r="N56" s="13"/>
      <c r="O56" s="19" t="s">
        <v>19</v>
      </c>
      <c r="P56" s="19">
        <v>7</v>
      </c>
    </row>
    <row r="57" spans="1:16" ht="15.75" customHeight="1" x14ac:dyDescent="0.2">
      <c r="A57" s="10">
        <v>56</v>
      </c>
      <c r="B57" s="11">
        <v>44391</v>
      </c>
      <c r="C57" s="10" t="s">
        <v>103</v>
      </c>
      <c r="D57" s="10" t="s">
        <v>5</v>
      </c>
      <c r="E57" s="10" t="s">
        <v>96</v>
      </c>
      <c r="F57" s="10" t="s">
        <v>97</v>
      </c>
      <c r="G57" s="12" t="s">
        <v>206</v>
      </c>
      <c r="H57" s="12">
        <v>226</v>
      </c>
      <c r="I57" s="12">
        <v>226</v>
      </c>
      <c r="J57" s="12">
        <f>I57*0.2</f>
        <v>45.2</v>
      </c>
      <c r="K57" s="27">
        <f>100/J57</f>
        <v>2.2123893805309733</v>
      </c>
      <c r="L57" s="27">
        <f>10-K57</f>
        <v>7.7876106194690262</v>
      </c>
      <c r="M57" s="27"/>
      <c r="O57" s="19" t="s">
        <v>213</v>
      </c>
      <c r="P57" s="19">
        <v>7</v>
      </c>
    </row>
    <row r="58" spans="1:16" ht="15.75" customHeight="1" x14ac:dyDescent="0.2">
      <c r="A58" s="10">
        <v>57</v>
      </c>
      <c r="B58" s="11">
        <v>44392</v>
      </c>
      <c r="C58" s="10" t="s">
        <v>103</v>
      </c>
      <c r="D58" s="10" t="s">
        <v>10</v>
      </c>
      <c r="E58" s="10" t="s">
        <v>98</v>
      </c>
      <c r="F58" s="10" t="s">
        <v>99</v>
      </c>
      <c r="G58" s="12" t="s">
        <v>137</v>
      </c>
      <c r="H58" s="12" t="s">
        <v>205</v>
      </c>
      <c r="I58" s="12">
        <v>457</v>
      </c>
      <c r="J58" s="12">
        <f>I58*0.2</f>
        <v>91.4</v>
      </c>
      <c r="K58" s="27">
        <f>100/J58</f>
        <v>1.0940919037199124</v>
      </c>
      <c r="L58" s="27">
        <f>10-K58</f>
        <v>8.9059080962800881</v>
      </c>
      <c r="M58" s="27"/>
      <c r="O58" s="19" t="s">
        <v>214</v>
      </c>
      <c r="P58" s="19">
        <v>7</v>
      </c>
    </row>
    <row r="59" spans="1:16" x14ac:dyDescent="0.2">
      <c r="A59" s="10">
        <v>58</v>
      </c>
      <c r="B59" s="11">
        <v>44268</v>
      </c>
      <c r="C59" s="10" t="s">
        <v>104</v>
      </c>
      <c r="D59" s="10" t="s">
        <v>5</v>
      </c>
      <c r="E59" s="10" t="s">
        <v>92</v>
      </c>
      <c r="F59" s="10" t="s">
        <v>93</v>
      </c>
      <c r="G59" s="12" t="s">
        <v>113</v>
      </c>
      <c r="H59" s="12" t="s">
        <v>205</v>
      </c>
      <c r="I59" s="12">
        <v>570</v>
      </c>
      <c r="J59" s="12">
        <f>I59*0.2</f>
        <v>114</v>
      </c>
      <c r="K59" s="27">
        <f>100/J59</f>
        <v>0.8771929824561403</v>
      </c>
      <c r="L59" s="27">
        <f>10-K59</f>
        <v>9.1228070175438596</v>
      </c>
      <c r="M59" s="27"/>
      <c r="O59" s="19" t="s">
        <v>215</v>
      </c>
      <c r="P59" s="19">
        <v>7</v>
      </c>
    </row>
    <row r="60" spans="1:16" x14ac:dyDescent="0.2">
      <c r="A60" s="10">
        <v>59</v>
      </c>
      <c r="B60" s="21">
        <v>44253</v>
      </c>
      <c r="C60" s="12" t="s">
        <v>102</v>
      </c>
      <c r="D60" s="12"/>
      <c r="E60" s="12"/>
      <c r="F60" s="12"/>
      <c r="G60" s="19" t="s">
        <v>163</v>
      </c>
      <c r="H60" s="17">
        <v>243</v>
      </c>
      <c r="I60" s="19">
        <v>243</v>
      </c>
      <c r="J60" s="12">
        <f>I60*0.2</f>
        <v>48.6</v>
      </c>
      <c r="K60" s="27">
        <f>100/J60</f>
        <v>2.0576131687242798</v>
      </c>
      <c r="L60" s="27">
        <f>10-K60</f>
        <v>7.9423868312757202</v>
      </c>
      <c r="M60" s="27"/>
      <c r="N60" s="16" t="s">
        <v>171</v>
      </c>
      <c r="O60" s="19" t="s">
        <v>5</v>
      </c>
      <c r="P60" s="19">
        <v>7</v>
      </c>
    </row>
    <row r="61" spans="1:16" x14ac:dyDescent="0.2">
      <c r="A61" s="10">
        <v>60</v>
      </c>
      <c r="B61" s="21">
        <v>43898</v>
      </c>
      <c r="C61" s="12"/>
      <c r="D61" s="12"/>
      <c r="E61" s="12"/>
      <c r="F61" s="12"/>
      <c r="G61" s="12" t="s">
        <v>164</v>
      </c>
      <c r="H61" s="12" t="s">
        <v>205</v>
      </c>
      <c r="I61" s="12">
        <v>500</v>
      </c>
      <c r="J61" s="12">
        <f>I61*0.2</f>
        <v>100</v>
      </c>
      <c r="K61" s="27">
        <f>100/J61</f>
        <v>1</v>
      </c>
      <c r="L61" s="27">
        <f>10-K61</f>
        <v>9</v>
      </c>
      <c r="M61" s="27"/>
      <c r="N61" s="23" t="s">
        <v>172</v>
      </c>
      <c r="O61" s="19" t="s">
        <v>210</v>
      </c>
      <c r="P61" s="19">
        <v>8</v>
      </c>
    </row>
    <row r="62" spans="1:16" x14ac:dyDescent="0.2">
      <c r="A62" s="10">
        <v>61</v>
      </c>
      <c r="B62" s="21">
        <v>44538</v>
      </c>
      <c r="C62" s="12"/>
      <c r="D62" s="12"/>
      <c r="E62" s="12"/>
      <c r="F62" s="12"/>
      <c r="G62" s="19" t="s">
        <v>165</v>
      </c>
      <c r="H62" s="17">
        <v>540</v>
      </c>
      <c r="I62" s="19">
        <v>540</v>
      </c>
      <c r="J62" s="12">
        <f>I62*0.2</f>
        <v>108</v>
      </c>
      <c r="K62" s="27">
        <f>100/J62</f>
        <v>0.92592592592592593</v>
      </c>
      <c r="L62" s="27">
        <f>10-K62</f>
        <v>9.0740740740740744</v>
      </c>
      <c r="M62" s="27"/>
      <c r="N62" s="16" t="s">
        <v>173</v>
      </c>
      <c r="O62" s="19" t="s">
        <v>211</v>
      </c>
      <c r="P62" s="19">
        <v>8</v>
      </c>
    </row>
    <row r="63" spans="1:16" x14ac:dyDescent="0.2">
      <c r="A63" s="10">
        <v>62</v>
      </c>
      <c r="B63" s="21">
        <v>43206</v>
      </c>
      <c r="C63" s="12"/>
      <c r="D63" s="12"/>
      <c r="E63" s="12"/>
      <c r="F63" s="12"/>
      <c r="G63" s="19" t="s">
        <v>167</v>
      </c>
      <c r="H63" s="19" t="s">
        <v>205</v>
      </c>
      <c r="I63" s="19">
        <v>450</v>
      </c>
      <c r="J63" s="12">
        <f>I63*0.2</f>
        <v>90</v>
      </c>
      <c r="K63" s="27">
        <f>100/J63</f>
        <v>1.1111111111111112</v>
      </c>
      <c r="L63" s="27">
        <f>10-K63</f>
        <v>8.8888888888888893</v>
      </c>
      <c r="M63" s="27"/>
      <c r="N63" s="16" t="s">
        <v>171</v>
      </c>
      <c r="O63" s="19" t="s">
        <v>212</v>
      </c>
      <c r="P63" s="19">
        <v>8</v>
      </c>
    </row>
    <row r="64" spans="1:16" x14ac:dyDescent="0.2">
      <c r="A64" s="10">
        <v>63</v>
      </c>
      <c r="B64" s="21">
        <v>43255</v>
      </c>
      <c r="C64" s="12"/>
      <c r="D64" s="12"/>
      <c r="E64" s="12"/>
      <c r="F64" s="12"/>
      <c r="G64" s="19" t="s">
        <v>168</v>
      </c>
      <c r="H64" s="19" t="s">
        <v>205</v>
      </c>
      <c r="I64" s="19">
        <v>202</v>
      </c>
      <c r="J64" s="12">
        <f>I64*0.2</f>
        <v>40.400000000000006</v>
      </c>
      <c r="K64" s="27">
        <f>100/J64</f>
        <v>2.4752475247524748</v>
      </c>
      <c r="L64" s="27">
        <f>10-K64</f>
        <v>7.5247524752475252</v>
      </c>
      <c r="M64" s="27"/>
      <c r="N64" s="16" t="s">
        <v>174</v>
      </c>
      <c r="O64" s="19" t="s">
        <v>19</v>
      </c>
      <c r="P64" s="19">
        <v>8</v>
      </c>
    </row>
    <row r="65" spans="1:16" x14ac:dyDescent="0.2">
      <c r="A65" s="3">
        <v>64</v>
      </c>
      <c r="B65" s="12"/>
      <c r="C65" s="12"/>
      <c r="D65" s="12"/>
      <c r="E65" s="12"/>
      <c r="F65" s="12"/>
      <c r="G65" s="19" t="s">
        <v>169</v>
      </c>
      <c r="H65" s="19" t="s">
        <v>205</v>
      </c>
      <c r="I65" s="19">
        <v>560</v>
      </c>
      <c r="J65" s="12">
        <f>I65*0.2</f>
        <v>112</v>
      </c>
      <c r="K65" s="27">
        <f>100/J65</f>
        <v>0.8928571428571429</v>
      </c>
      <c r="L65" s="27">
        <f>10-K65</f>
        <v>9.1071428571428577</v>
      </c>
      <c r="M65" s="27"/>
      <c r="N65" s="16" t="s">
        <v>171</v>
      </c>
      <c r="O65" s="19" t="s">
        <v>213</v>
      </c>
      <c r="P65" s="19">
        <v>8</v>
      </c>
    </row>
    <row r="66" spans="1:16" x14ac:dyDescent="0.2">
      <c r="A66" s="3">
        <v>65</v>
      </c>
      <c r="B66" s="12"/>
      <c r="C66" s="12"/>
      <c r="D66" s="12"/>
      <c r="E66" s="12"/>
      <c r="F66" s="12"/>
      <c r="G66" s="19" t="s">
        <v>170</v>
      </c>
      <c r="H66" s="19" t="s">
        <v>205</v>
      </c>
      <c r="I66" s="19">
        <v>590</v>
      </c>
      <c r="J66" s="12">
        <f>I66*0.2</f>
        <v>118</v>
      </c>
      <c r="K66" s="27">
        <f>100/J66</f>
        <v>0.84745762711864403</v>
      </c>
      <c r="L66" s="27">
        <f>10-K66</f>
        <v>9.1525423728813564</v>
      </c>
      <c r="M66" s="27"/>
      <c r="N66" s="16" t="s">
        <v>171</v>
      </c>
      <c r="O66" s="19" t="s">
        <v>214</v>
      </c>
      <c r="P66" s="19">
        <v>8</v>
      </c>
    </row>
    <row r="67" spans="1:16" x14ac:dyDescent="0.2">
      <c r="A67" s="3">
        <v>66</v>
      </c>
      <c r="B67" s="21">
        <v>45238</v>
      </c>
      <c r="C67" s="12" t="s">
        <v>104</v>
      </c>
      <c r="D67" s="12" t="s">
        <v>5</v>
      </c>
      <c r="E67" s="12" t="s">
        <v>176</v>
      </c>
      <c r="F67" s="12" t="s">
        <v>175</v>
      </c>
      <c r="G67" s="19" t="s">
        <v>177</v>
      </c>
      <c r="H67" s="19" t="s">
        <v>205</v>
      </c>
      <c r="I67" s="19">
        <v>361</v>
      </c>
      <c r="J67" s="12">
        <f>I67*0.2</f>
        <v>72.2</v>
      </c>
      <c r="K67" s="27">
        <f>100/J67</f>
        <v>1.3850415512465373</v>
      </c>
      <c r="L67" s="27">
        <f>10-K67</f>
        <v>8.6149584487534625</v>
      </c>
      <c r="M67" s="27"/>
      <c r="N67" s="1" t="s">
        <v>181</v>
      </c>
      <c r="O67" s="19" t="s">
        <v>215</v>
      </c>
      <c r="P67" s="19">
        <v>8</v>
      </c>
    </row>
    <row r="68" spans="1:16" x14ac:dyDescent="0.2">
      <c r="A68" s="3">
        <v>67</v>
      </c>
      <c r="B68" s="21">
        <v>44997</v>
      </c>
      <c r="C68" s="12" t="s">
        <v>105</v>
      </c>
      <c r="D68" s="12" t="s">
        <v>19</v>
      </c>
      <c r="E68" s="28" t="s">
        <v>178</v>
      </c>
      <c r="F68" s="28" t="s">
        <v>179</v>
      </c>
      <c r="G68" s="19" t="s">
        <v>188</v>
      </c>
      <c r="H68" s="19" t="s">
        <v>205</v>
      </c>
      <c r="I68" s="19">
        <v>176</v>
      </c>
      <c r="J68" s="12">
        <f>I68*0.2</f>
        <v>35.200000000000003</v>
      </c>
      <c r="K68" s="27">
        <f>100/J68</f>
        <v>2.8409090909090908</v>
      </c>
      <c r="L68" s="27">
        <f>10-K68</f>
        <v>7.1590909090909092</v>
      </c>
      <c r="M68" s="27"/>
      <c r="N68" s="1" t="s">
        <v>180</v>
      </c>
      <c r="O68" s="19" t="s">
        <v>5</v>
      </c>
      <c r="P68" s="19">
        <v>8</v>
      </c>
    </row>
    <row r="69" spans="1:16" x14ac:dyDescent="0.2">
      <c r="A69" s="3">
        <v>68</v>
      </c>
      <c r="B69" s="21">
        <v>44887</v>
      </c>
      <c r="C69" s="12" t="s">
        <v>104</v>
      </c>
      <c r="D69" s="12" t="s">
        <v>5</v>
      </c>
      <c r="E69" s="28" t="s">
        <v>185</v>
      </c>
      <c r="F69" s="28" t="s">
        <v>196</v>
      </c>
      <c r="G69" s="19" t="s">
        <v>187</v>
      </c>
      <c r="H69" s="19" t="s">
        <v>205</v>
      </c>
      <c r="I69" s="19">
        <v>570</v>
      </c>
      <c r="J69" s="12">
        <f>I69*0.2</f>
        <v>114</v>
      </c>
      <c r="K69" s="27">
        <f>100/J69</f>
        <v>0.8771929824561403</v>
      </c>
      <c r="L69" s="27">
        <f>10-K69</f>
        <v>9.1228070175438596</v>
      </c>
      <c r="M69" s="27"/>
      <c r="N69" t="s">
        <v>184</v>
      </c>
      <c r="O69" s="19" t="s">
        <v>210</v>
      </c>
      <c r="P69" s="19">
        <v>9</v>
      </c>
    </row>
    <row r="70" spans="1:16" x14ac:dyDescent="0.2">
      <c r="A70" s="3">
        <v>69</v>
      </c>
      <c r="B70" s="21">
        <v>44804</v>
      </c>
      <c r="C70" s="12" t="s">
        <v>102</v>
      </c>
      <c r="D70" s="12" t="s">
        <v>5</v>
      </c>
      <c r="E70" s="28" t="s">
        <v>194</v>
      </c>
      <c r="F70" s="28" t="s">
        <v>195</v>
      </c>
      <c r="G70" s="12" t="s">
        <v>186</v>
      </c>
      <c r="H70" s="19" t="s">
        <v>205</v>
      </c>
      <c r="I70" s="19">
        <v>520</v>
      </c>
      <c r="J70" s="12">
        <f>I70*0.2</f>
        <v>104</v>
      </c>
      <c r="K70" s="27">
        <f>100/J70</f>
        <v>0.96153846153846156</v>
      </c>
      <c r="L70" s="27">
        <f>10-K70</f>
        <v>9.0384615384615383</v>
      </c>
      <c r="M70" s="27"/>
      <c r="N70" t="s">
        <v>189</v>
      </c>
      <c r="O70" s="19" t="s">
        <v>211</v>
      </c>
      <c r="P70" s="19">
        <v>9</v>
      </c>
    </row>
    <row r="71" spans="1:16" x14ac:dyDescent="0.2">
      <c r="A71" s="3">
        <v>70</v>
      </c>
      <c r="B71" s="21">
        <v>44887</v>
      </c>
      <c r="C71" s="12" t="s">
        <v>104</v>
      </c>
      <c r="D71" s="12" t="s">
        <v>10</v>
      </c>
      <c r="E71" s="28" t="s">
        <v>183</v>
      </c>
      <c r="F71" s="28" t="s">
        <v>192</v>
      </c>
      <c r="G71" s="12" t="s">
        <v>190</v>
      </c>
      <c r="H71" s="4">
        <v>80.2</v>
      </c>
      <c r="I71" s="12">
        <v>80.2</v>
      </c>
      <c r="J71" s="12">
        <f>I71*0.2</f>
        <v>16.040000000000003</v>
      </c>
      <c r="K71" s="27">
        <f>100/J71</f>
        <v>6.2344139650872812</v>
      </c>
      <c r="L71" s="27">
        <f>10-K71</f>
        <v>3.7655860349127188</v>
      </c>
      <c r="M71" s="27"/>
      <c r="N71" s="22" t="s">
        <v>182</v>
      </c>
      <c r="O71" s="19" t="s">
        <v>212</v>
      </c>
      <c r="P71" s="19">
        <v>9</v>
      </c>
    </row>
    <row r="72" spans="1:16" x14ac:dyDescent="0.2">
      <c r="A72" s="3">
        <v>71</v>
      </c>
      <c r="B72" s="21">
        <v>44887</v>
      </c>
      <c r="C72" s="12" t="s">
        <v>102</v>
      </c>
      <c r="D72" s="12" t="s">
        <v>19</v>
      </c>
      <c r="E72" s="28" t="s">
        <v>183</v>
      </c>
      <c r="F72" s="28" t="s">
        <v>192</v>
      </c>
      <c r="G72" s="19" t="s">
        <v>193</v>
      </c>
      <c r="H72" s="19" t="s">
        <v>205</v>
      </c>
      <c r="I72" s="19">
        <v>580</v>
      </c>
      <c r="J72" s="12">
        <f>I72*0.2</f>
        <v>116</v>
      </c>
      <c r="K72" s="27">
        <f>100/J72</f>
        <v>0.86206896551724133</v>
      </c>
      <c r="L72" s="27">
        <f>10-K72</f>
        <v>9.137931034482758</v>
      </c>
      <c r="M72" s="27"/>
      <c r="N72" t="s">
        <v>191</v>
      </c>
      <c r="O72" s="19" t="s">
        <v>19</v>
      </c>
      <c r="P72" s="19">
        <v>9</v>
      </c>
    </row>
    <row r="73" spans="1:16" x14ac:dyDescent="0.2">
      <c r="A73" s="3">
        <v>72</v>
      </c>
      <c r="B73" s="21">
        <v>44971</v>
      </c>
      <c r="C73" s="12" t="s">
        <v>104</v>
      </c>
      <c r="D73" s="12" t="s">
        <v>19</v>
      </c>
      <c r="E73" s="28" t="s">
        <v>199</v>
      </c>
      <c r="F73" s="28" t="s">
        <v>200</v>
      </c>
      <c r="G73" s="12" t="s">
        <v>197</v>
      </c>
      <c r="H73" s="19">
        <v>460</v>
      </c>
      <c r="I73" s="19">
        <v>460</v>
      </c>
      <c r="J73" s="12">
        <f>I73*0.2</f>
        <v>92</v>
      </c>
      <c r="K73" s="27">
        <f>100/J73</f>
        <v>1.0869565217391304</v>
      </c>
      <c r="L73" s="27">
        <f>10-K73</f>
        <v>8.9130434782608692</v>
      </c>
      <c r="M73" s="27"/>
      <c r="N73" t="s">
        <v>198</v>
      </c>
      <c r="O73" s="19" t="s">
        <v>213</v>
      </c>
      <c r="P73" s="19">
        <v>9</v>
      </c>
    </row>
  </sheetData>
  <autoFilter ref="A1:N73" xr:uid="{D8EAC233-218A-4FFD-85EE-557BE65B1110}"/>
  <sortState xmlns:xlrd2="http://schemas.microsoft.com/office/spreadsheetml/2017/richdata2" ref="B2:F58">
    <sortCondition ref="B2:B58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319C-3043-9E43-98E6-3E39277764B4}">
  <dimension ref="A1:P73"/>
  <sheetViews>
    <sheetView tabSelected="1" workbookViewId="0">
      <selection activeCell="E26" sqref="A1:P68"/>
    </sheetView>
  </sheetViews>
  <sheetFormatPr baseColWidth="10" defaultRowHeight="16" customHeight="1" x14ac:dyDescent="0.2"/>
  <cols>
    <col min="1" max="13" width="10.83203125" style="28"/>
    <col min="14" max="14" width="0" style="28" hidden="1" customWidth="1"/>
    <col min="15" max="16384" width="10.83203125" style="28"/>
  </cols>
  <sheetData>
    <row r="1" spans="1:16" ht="16" customHeight="1" x14ac:dyDescent="0.2">
      <c r="A1" s="38" t="s">
        <v>108</v>
      </c>
      <c r="B1" s="39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208</v>
      </c>
      <c r="H1" s="39" t="s">
        <v>202</v>
      </c>
      <c r="I1" s="39" t="s">
        <v>207</v>
      </c>
      <c r="J1" s="39" t="s">
        <v>201</v>
      </c>
      <c r="K1" s="40" t="s">
        <v>203</v>
      </c>
      <c r="L1" s="40" t="s">
        <v>204</v>
      </c>
      <c r="M1" s="40" t="s">
        <v>209</v>
      </c>
      <c r="N1" s="39" t="s">
        <v>122</v>
      </c>
      <c r="O1" s="40" t="s">
        <v>216</v>
      </c>
      <c r="P1" s="40" t="s">
        <v>217</v>
      </c>
    </row>
    <row r="2" spans="1:16" ht="16" customHeight="1" x14ac:dyDescent="0.2">
      <c r="A2" s="12">
        <v>1</v>
      </c>
      <c r="B2" s="21">
        <v>43755</v>
      </c>
      <c r="C2" s="12" t="s">
        <v>103</v>
      </c>
      <c r="D2" s="12" t="s">
        <v>5</v>
      </c>
      <c r="E2" s="12" t="s">
        <v>6</v>
      </c>
      <c r="F2" s="12" t="s">
        <v>7</v>
      </c>
      <c r="G2" s="12" t="s">
        <v>162</v>
      </c>
      <c r="H2" s="12">
        <v>335</v>
      </c>
      <c r="I2" s="12">
        <v>335</v>
      </c>
      <c r="J2" s="12">
        <f>I2*0.2</f>
        <v>67</v>
      </c>
      <c r="K2" s="27">
        <f>100/J2</f>
        <v>1.4925373134328359</v>
      </c>
      <c r="L2" s="27">
        <f>10-K2</f>
        <v>8.5074626865671643</v>
      </c>
      <c r="M2" s="27" t="str">
        <f>CONCATENATE(O2,P2)</f>
        <v>A1</v>
      </c>
      <c r="N2" s="12" t="s">
        <v>157</v>
      </c>
      <c r="O2" s="12" t="s">
        <v>210</v>
      </c>
      <c r="P2" s="12">
        <v>1</v>
      </c>
    </row>
    <row r="3" spans="1:16" ht="16" customHeight="1" x14ac:dyDescent="0.2">
      <c r="A3" s="12">
        <v>2</v>
      </c>
      <c r="B3" s="21">
        <v>43141</v>
      </c>
      <c r="C3" s="12" t="s">
        <v>104</v>
      </c>
      <c r="D3" s="12" t="s">
        <v>5</v>
      </c>
      <c r="E3" s="12" t="s">
        <v>8</v>
      </c>
      <c r="F3" s="12" t="s">
        <v>9</v>
      </c>
      <c r="G3" s="12" t="s">
        <v>146</v>
      </c>
      <c r="H3" s="12">
        <v>228</v>
      </c>
      <c r="I3" s="12">
        <v>228</v>
      </c>
      <c r="J3" s="12">
        <f>I3*0.2</f>
        <v>45.6</v>
      </c>
      <c r="K3" s="27">
        <f>100/J3</f>
        <v>2.1929824561403506</v>
      </c>
      <c r="L3" s="27">
        <f>10-K3</f>
        <v>7.807017543859649</v>
      </c>
      <c r="M3" s="27" t="str">
        <f t="shared" ref="M3:M66" si="0">CONCATENATE(O3,P3)</f>
        <v>B1</v>
      </c>
      <c r="O3" s="12" t="s">
        <v>211</v>
      </c>
      <c r="P3" s="12">
        <v>1</v>
      </c>
    </row>
    <row r="4" spans="1:16" ht="16" customHeight="1" x14ac:dyDescent="0.2">
      <c r="A4" s="12">
        <v>3</v>
      </c>
      <c r="B4" s="21">
        <v>43141</v>
      </c>
      <c r="C4" s="12" t="s">
        <v>104</v>
      </c>
      <c r="D4" s="12" t="s">
        <v>10</v>
      </c>
      <c r="E4" s="12" t="s">
        <v>11</v>
      </c>
      <c r="F4" s="12" t="s">
        <v>9</v>
      </c>
      <c r="G4" s="12" t="s">
        <v>144</v>
      </c>
      <c r="H4" s="12">
        <v>319</v>
      </c>
      <c r="I4" s="12">
        <v>319</v>
      </c>
      <c r="J4" s="12">
        <f>I4*0.2</f>
        <v>63.800000000000004</v>
      </c>
      <c r="K4" s="27">
        <f>100/J4</f>
        <v>1.567398119122257</v>
      </c>
      <c r="L4" s="27">
        <f>10-K4</f>
        <v>8.4326018808777423</v>
      </c>
      <c r="M4" s="27" t="str">
        <f t="shared" si="0"/>
        <v>C1</v>
      </c>
      <c r="O4" s="12" t="s">
        <v>212</v>
      </c>
      <c r="P4" s="12">
        <v>1</v>
      </c>
    </row>
    <row r="5" spans="1:16" ht="16" customHeight="1" x14ac:dyDescent="0.2">
      <c r="A5" s="12">
        <v>4</v>
      </c>
      <c r="B5" s="21">
        <v>43143</v>
      </c>
      <c r="C5" s="12" t="s">
        <v>102</v>
      </c>
      <c r="D5" s="12" t="s">
        <v>10</v>
      </c>
      <c r="E5" s="12" t="s">
        <v>12</v>
      </c>
      <c r="F5" s="12" t="s">
        <v>13</v>
      </c>
      <c r="G5" s="12" t="s">
        <v>145</v>
      </c>
      <c r="H5" s="12">
        <v>319</v>
      </c>
      <c r="I5" s="12">
        <v>319</v>
      </c>
      <c r="J5" s="12">
        <f>I5*0.2</f>
        <v>63.800000000000004</v>
      </c>
      <c r="K5" s="27">
        <f>100/J5</f>
        <v>1.567398119122257</v>
      </c>
      <c r="L5" s="27">
        <f>10-K5</f>
        <v>8.4326018808777423</v>
      </c>
      <c r="M5" s="27" t="str">
        <f t="shared" si="0"/>
        <v>D1</v>
      </c>
      <c r="N5" s="12"/>
      <c r="O5" s="12" t="s">
        <v>19</v>
      </c>
      <c r="P5" s="12">
        <v>1</v>
      </c>
    </row>
    <row r="6" spans="1:16" ht="16" customHeight="1" x14ac:dyDescent="0.2">
      <c r="A6" s="12">
        <v>5</v>
      </c>
      <c r="B6" s="21">
        <v>43145</v>
      </c>
      <c r="C6" s="12" t="s">
        <v>104</v>
      </c>
      <c r="D6" s="12" t="s">
        <v>10</v>
      </c>
      <c r="E6" s="12" t="s">
        <v>14</v>
      </c>
      <c r="F6" s="12" t="s">
        <v>15</v>
      </c>
      <c r="G6" s="12" t="s">
        <v>149</v>
      </c>
      <c r="H6" s="12">
        <v>363</v>
      </c>
      <c r="I6" s="12">
        <v>363</v>
      </c>
      <c r="J6" s="12">
        <f>I6*0.2</f>
        <v>72.600000000000009</v>
      </c>
      <c r="K6" s="27">
        <f>100/J6</f>
        <v>1.3774104683195592</v>
      </c>
      <c r="L6" s="27">
        <f>10-K6</f>
        <v>8.6225895316804415</v>
      </c>
      <c r="M6" s="27" t="str">
        <f t="shared" si="0"/>
        <v>E1</v>
      </c>
      <c r="O6" s="12" t="s">
        <v>213</v>
      </c>
      <c r="P6" s="12">
        <v>1</v>
      </c>
    </row>
    <row r="7" spans="1:16" ht="16" customHeight="1" x14ac:dyDescent="0.2">
      <c r="A7" s="12">
        <v>6</v>
      </c>
      <c r="B7" s="21">
        <v>43158</v>
      </c>
      <c r="C7" s="12" t="s">
        <v>102</v>
      </c>
      <c r="D7" s="12" t="s">
        <v>5</v>
      </c>
      <c r="E7" s="12" t="s">
        <v>16</v>
      </c>
      <c r="F7" s="12" t="s">
        <v>13</v>
      </c>
      <c r="G7" s="12" t="s">
        <v>147</v>
      </c>
      <c r="H7" s="12">
        <v>347</v>
      </c>
      <c r="I7" s="12">
        <v>347</v>
      </c>
      <c r="J7" s="12">
        <f>I7*0.2</f>
        <v>69.400000000000006</v>
      </c>
      <c r="K7" s="27">
        <f>100/J7</f>
        <v>1.4409221902017291</v>
      </c>
      <c r="L7" s="27">
        <f>10-K7</f>
        <v>8.5590778097982714</v>
      </c>
      <c r="M7" s="27" t="str">
        <f t="shared" si="0"/>
        <v>F1</v>
      </c>
      <c r="O7" s="12" t="s">
        <v>214</v>
      </c>
      <c r="P7" s="12">
        <v>1</v>
      </c>
    </row>
    <row r="8" spans="1:16" ht="16" customHeight="1" x14ac:dyDescent="0.2">
      <c r="A8" s="12">
        <v>7</v>
      </c>
      <c r="B8" s="21">
        <v>43172</v>
      </c>
      <c r="C8" s="12" t="s">
        <v>102</v>
      </c>
      <c r="D8" s="12" t="s">
        <v>5</v>
      </c>
      <c r="E8" s="12" t="s">
        <v>17</v>
      </c>
      <c r="F8" s="12" t="s">
        <v>18</v>
      </c>
      <c r="G8" s="12" t="s">
        <v>148</v>
      </c>
      <c r="H8" s="12">
        <v>373</v>
      </c>
      <c r="I8" s="12">
        <v>373</v>
      </c>
      <c r="J8" s="12">
        <f>I8*0.2</f>
        <v>74.600000000000009</v>
      </c>
      <c r="K8" s="27">
        <f>100/J8</f>
        <v>1.3404825737265413</v>
      </c>
      <c r="L8" s="27">
        <f>10-K8</f>
        <v>8.6595174262734584</v>
      </c>
      <c r="M8" s="27" t="str">
        <f t="shared" si="0"/>
        <v>G1</v>
      </c>
      <c r="O8" s="12" t="s">
        <v>215</v>
      </c>
      <c r="P8" s="12">
        <v>1</v>
      </c>
    </row>
    <row r="9" spans="1:16" ht="16" customHeight="1" x14ac:dyDescent="0.2">
      <c r="A9" s="12">
        <v>10</v>
      </c>
      <c r="B9" s="21">
        <v>43299</v>
      </c>
      <c r="C9" s="12" t="s">
        <v>104</v>
      </c>
      <c r="D9" s="12" t="s">
        <v>10</v>
      </c>
      <c r="E9" s="12" t="s">
        <v>24</v>
      </c>
      <c r="F9" s="12" t="s">
        <v>25</v>
      </c>
      <c r="G9" s="12" t="s">
        <v>158</v>
      </c>
      <c r="H9" s="12">
        <v>306</v>
      </c>
      <c r="I9" s="12">
        <v>306</v>
      </c>
      <c r="J9" s="12">
        <f>I9*0.2</f>
        <v>61.2</v>
      </c>
      <c r="K9" s="27">
        <f>100/J9</f>
        <v>1.6339869281045751</v>
      </c>
      <c r="L9" s="27">
        <f>10-K9</f>
        <v>8.3660130718954253</v>
      </c>
      <c r="M9" s="27" t="str">
        <f t="shared" si="0"/>
        <v>H1</v>
      </c>
      <c r="N9" s="28" t="s">
        <v>157</v>
      </c>
      <c r="O9" s="12" t="s">
        <v>5</v>
      </c>
      <c r="P9" s="12">
        <v>1</v>
      </c>
    </row>
    <row r="10" spans="1:16" ht="16" customHeight="1" x14ac:dyDescent="0.2">
      <c r="A10" s="12">
        <v>11</v>
      </c>
      <c r="B10" s="21">
        <v>43299</v>
      </c>
      <c r="C10" s="12" t="s">
        <v>104</v>
      </c>
      <c r="D10" s="12" t="s">
        <v>10</v>
      </c>
      <c r="E10" s="12" t="s">
        <v>26</v>
      </c>
      <c r="F10" s="12" t="s">
        <v>27</v>
      </c>
      <c r="G10" s="12" t="s">
        <v>123</v>
      </c>
      <c r="H10" s="12" t="s">
        <v>205</v>
      </c>
      <c r="I10" s="12">
        <v>560</v>
      </c>
      <c r="J10" s="12">
        <f>I10*0.2</f>
        <v>112</v>
      </c>
      <c r="K10" s="27">
        <f>100/J10</f>
        <v>0.8928571428571429</v>
      </c>
      <c r="L10" s="27">
        <f>10-K10</f>
        <v>9.1071428571428577</v>
      </c>
      <c r="M10" s="27" t="str">
        <f t="shared" si="0"/>
        <v>A2</v>
      </c>
      <c r="N10" s="28" t="s">
        <v>157</v>
      </c>
      <c r="O10" s="12" t="s">
        <v>210</v>
      </c>
      <c r="P10" s="12">
        <v>2</v>
      </c>
    </row>
    <row r="11" spans="1:16" ht="16" customHeight="1" x14ac:dyDescent="0.2">
      <c r="A11" s="12">
        <v>12</v>
      </c>
      <c r="B11" s="21">
        <v>43299</v>
      </c>
      <c r="C11" s="12" t="s">
        <v>104</v>
      </c>
      <c r="D11" s="12" t="s">
        <v>5</v>
      </c>
      <c r="E11" s="12" t="s">
        <v>28</v>
      </c>
      <c r="F11" s="12" t="s">
        <v>29</v>
      </c>
      <c r="G11" s="12" t="s">
        <v>159</v>
      </c>
      <c r="H11" s="12">
        <v>334</v>
      </c>
      <c r="I11" s="12">
        <v>334</v>
      </c>
      <c r="J11" s="12">
        <f>I11*0.2</f>
        <v>66.8</v>
      </c>
      <c r="K11" s="27">
        <f>100/J11</f>
        <v>1.4970059880239521</v>
      </c>
      <c r="L11" s="27">
        <f>10-K11</f>
        <v>8.5029940119760479</v>
      </c>
      <c r="M11" s="27" t="str">
        <f t="shared" si="0"/>
        <v>B2</v>
      </c>
      <c r="N11" s="28" t="s">
        <v>157</v>
      </c>
      <c r="O11" s="12" t="s">
        <v>211</v>
      </c>
      <c r="P11" s="12">
        <v>2</v>
      </c>
    </row>
    <row r="12" spans="1:16" ht="16" customHeight="1" x14ac:dyDescent="0.2">
      <c r="A12" s="12">
        <v>13</v>
      </c>
      <c r="B12" s="21">
        <v>43330</v>
      </c>
      <c r="C12" s="12" t="s">
        <v>104</v>
      </c>
      <c r="D12" s="12" t="s">
        <v>10</v>
      </c>
      <c r="E12" s="12" t="s">
        <v>30</v>
      </c>
      <c r="F12" s="12" t="s">
        <v>31</v>
      </c>
      <c r="G12" s="12" t="s">
        <v>160</v>
      </c>
      <c r="H12" s="12">
        <v>344</v>
      </c>
      <c r="I12" s="12">
        <v>344</v>
      </c>
      <c r="J12" s="12">
        <f>I12*0.2</f>
        <v>68.8</v>
      </c>
      <c r="K12" s="27">
        <f>100/J12</f>
        <v>1.4534883720930234</v>
      </c>
      <c r="L12" s="27">
        <f>10-K12</f>
        <v>8.5465116279069768</v>
      </c>
      <c r="M12" s="27" t="str">
        <f t="shared" si="0"/>
        <v>C2</v>
      </c>
      <c r="N12" s="28" t="s">
        <v>157</v>
      </c>
      <c r="O12" s="12" t="s">
        <v>212</v>
      </c>
      <c r="P12" s="12">
        <v>2</v>
      </c>
    </row>
    <row r="13" spans="1:16" ht="16" customHeight="1" x14ac:dyDescent="0.2">
      <c r="A13" s="12">
        <v>14</v>
      </c>
      <c r="B13" s="21">
        <v>43330</v>
      </c>
      <c r="C13" s="12" t="s">
        <v>104</v>
      </c>
      <c r="D13" s="12" t="s">
        <v>10</v>
      </c>
      <c r="E13" s="12" t="s">
        <v>28</v>
      </c>
      <c r="F13" s="12" t="s">
        <v>29</v>
      </c>
      <c r="G13" s="12" t="s">
        <v>161</v>
      </c>
      <c r="H13" s="12">
        <v>333</v>
      </c>
      <c r="I13" s="12">
        <v>333</v>
      </c>
      <c r="J13" s="12">
        <f>I13*0.2</f>
        <v>66.600000000000009</v>
      </c>
      <c r="K13" s="27">
        <f>100/J13</f>
        <v>1.5015015015015014</v>
      </c>
      <c r="L13" s="27">
        <f>10-K13</f>
        <v>8.498498498498499</v>
      </c>
      <c r="M13" s="27" t="str">
        <f t="shared" si="0"/>
        <v>D2</v>
      </c>
      <c r="N13" s="28" t="s">
        <v>157</v>
      </c>
      <c r="O13" s="12" t="s">
        <v>19</v>
      </c>
      <c r="P13" s="12">
        <v>2</v>
      </c>
    </row>
    <row r="14" spans="1:16" ht="16" customHeight="1" x14ac:dyDescent="0.2">
      <c r="A14" s="12">
        <v>15</v>
      </c>
      <c r="B14" s="21">
        <v>43377</v>
      </c>
      <c r="C14" s="12" t="s">
        <v>105</v>
      </c>
      <c r="D14" s="12" t="s">
        <v>5</v>
      </c>
      <c r="E14" s="12" t="s">
        <v>32</v>
      </c>
      <c r="F14" s="12" t="s">
        <v>29</v>
      </c>
      <c r="G14" s="12" t="s">
        <v>125</v>
      </c>
      <c r="H14" s="12">
        <v>283</v>
      </c>
      <c r="I14" s="12">
        <v>283</v>
      </c>
      <c r="J14" s="12">
        <f>I14*0.2</f>
        <v>56.6</v>
      </c>
      <c r="K14" s="27">
        <f>100/J14</f>
        <v>1.7667844522968197</v>
      </c>
      <c r="L14" s="27">
        <f>10-K14</f>
        <v>8.2332155477031801</v>
      </c>
      <c r="M14" s="27" t="str">
        <f t="shared" si="0"/>
        <v>E2</v>
      </c>
      <c r="O14" s="12" t="s">
        <v>213</v>
      </c>
      <c r="P14" s="12">
        <v>2</v>
      </c>
    </row>
    <row r="15" spans="1:16" ht="16" customHeight="1" x14ac:dyDescent="0.2">
      <c r="A15" s="12">
        <v>16</v>
      </c>
      <c r="B15" s="21">
        <v>43528</v>
      </c>
      <c r="C15" s="12" t="s">
        <v>101</v>
      </c>
      <c r="D15" s="12" t="s">
        <v>5</v>
      </c>
      <c r="E15" s="12" t="s">
        <v>33</v>
      </c>
      <c r="F15" s="12" t="s">
        <v>34</v>
      </c>
      <c r="G15" s="12" t="s">
        <v>118</v>
      </c>
      <c r="H15" s="12">
        <v>355</v>
      </c>
      <c r="I15" s="12">
        <v>355</v>
      </c>
      <c r="J15" s="12">
        <f>I15*0.2</f>
        <v>71</v>
      </c>
      <c r="K15" s="27">
        <f>100/J15</f>
        <v>1.408450704225352</v>
      </c>
      <c r="L15" s="27">
        <f>10-K15</f>
        <v>8.591549295774648</v>
      </c>
      <c r="M15" s="27" t="str">
        <f t="shared" si="0"/>
        <v>F2</v>
      </c>
      <c r="O15" s="12" t="s">
        <v>214</v>
      </c>
      <c r="P15" s="12">
        <v>2</v>
      </c>
    </row>
    <row r="16" spans="1:16" ht="16" customHeight="1" x14ac:dyDescent="0.2">
      <c r="A16" s="12">
        <v>17</v>
      </c>
      <c r="B16" s="21">
        <v>43528</v>
      </c>
      <c r="C16" s="12" t="s">
        <v>101</v>
      </c>
      <c r="D16" s="12" t="s">
        <v>19</v>
      </c>
      <c r="E16" s="12" t="s">
        <v>33</v>
      </c>
      <c r="F16" s="12" t="s">
        <v>34</v>
      </c>
      <c r="G16" s="12" t="s">
        <v>117</v>
      </c>
      <c r="H16" s="12">
        <v>368</v>
      </c>
      <c r="I16" s="12">
        <v>368</v>
      </c>
      <c r="J16" s="12">
        <f>I16*0.2</f>
        <v>73.600000000000009</v>
      </c>
      <c r="K16" s="27">
        <f>100/J16</f>
        <v>1.3586956521739129</v>
      </c>
      <c r="L16" s="27">
        <f>10-K16</f>
        <v>8.6413043478260878</v>
      </c>
      <c r="M16" s="27" t="str">
        <f t="shared" si="0"/>
        <v>G2</v>
      </c>
      <c r="O16" s="12" t="s">
        <v>215</v>
      </c>
      <c r="P16" s="12">
        <v>2</v>
      </c>
    </row>
    <row r="17" spans="1:16" ht="16" customHeight="1" x14ac:dyDescent="0.2">
      <c r="A17" s="12">
        <v>18</v>
      </c>
      <c r="B17" s="21">
        <v>43528</v>
      </c>
      <c r="C17" s="12" t="s">
        <v>101</v>
      </c>
      <c r="D17" s="12" t="s">
        <v>19</v>
      </c>
      <c r="E17" s="12" t="s">
        <v>33</v>
      </c>
      <c r="F17" s="12" t="s">
        <v>34</v>
      </c>
      <c r="G17" s="12" t="s">
        <v>116</v>
      </c>
      <c r="H17" s="12">
        <v>383</v>
      </c>
      <c r="I17" s="12">
        <v>383</v>
      </c>
      <c r="J17" s="12">
        <f>I17*0.2</f>
        <v>76.600000000000009</v>
      </c>
      <c r="K17" s="27">
        <f>100/J17</f>
        <v>1.3054830287206265</v>
      </c>
      <c r="L17" s="27">
        <f>10-K17</f>
        <v>8.6945169712793735</v>
      </c>
      <c r="M17" s="27" t="str">
        <f t="shared" si="0"/>
        <v>H2</v>
      </c>
      <c r="O17" s="12" t="s">
        <v>5</v>
      </c>
      <c r="P17" s="12">
        <v>2</v>
      </c>
    </row>
    <row r="18" spans="1:16" ht="16" customHeight="1" x14ac:dyDescent="0.2">
      <c r="A18" s="12">
        <v>19</v>
      </c>
      <c r="B18" s="21">
        <v>43547</v>
      </c>
      <c r="C18" s="12" t="s">
        <v>101</v>
      </c>
      <c r="D18" s="12" t="s">
        <v>5</v>
      </c>
      <c r="E18" s="12" t="s">
        <v>35</v>
      </c>
      <c r="F18" s="12" t="s">
        <v>36</v>
      </c>
      <c r="G18" s="12" t="s">
        <v>154</v>
      </c>
      <c r="H18" s="12">
        <v>301</v>
      </c>
      <c r="I18" s="12">
        <v>301</v>
      </c>
      <c r="J18" s="12">
        <f>I18*0.2</f>
        <v>60.2</v>
      </c>
      <c r="K18" s="27">
        <f>100/J18</f>
        <v>1.6611295681063123</v>
      </c>
      <c r="L18" s="27">
        <f>10-K18</f>
        <v>8.338870431893687</v>
      </c>
      <c r="M18" s="27" t="str">
        <f t="shared" si="0"/>
        <v>A3</v>
      </c>
      <c r="O18" s="12" t="s">
        <v>210</v>
      </c>
      <c r="P18" s="12">
        <v>3</v>
      </c>
    </row>
    <row r="19" spans="1:16" ht="16" customHeight="1" x14ac:dyDescent="0.2">
      <c r="A19" s="12">
        <v>20</v>
      </c>
      <c r="B19" s="21">
        <v>43549</v>
      </c>
      <c r="C19" s="12" t="s">
        <v>104</v>
      </c>
      <c r="D19" s="12" t="s">
        <v>5</v>
      </c>
      <c r="E19" s="12" t="s">
        <v>37</v>
      </c>
      <c r="F19" s="12" t="s">
        <v>38</v>
      </c>
      <c r="G19" s="12" t="s">
        <v>155</v>
      </c>
      <c r="H19" s="12">
        <v>275</v>
      </c>
      <c r="I19" s="12">
        <v>275</v>
      </c>
      <c r="J19" s="12">
        <f>I19*0.2</f>
        <v>55</v>
      </c>
      <c r="K19" s="27">
        <f>100/J19</f>
        <v>1.8181818181818181</v>
      </c>
      <c r="L19" s="27">
        <f>10-K19</f>
        <v>8.1818181818181817</v>
      </c>
      <c r="M19" s="27" t="str">
        <f t="shared" si="0"/>
        <v>B3</v>
      </c>
      <c r="O19" s="12" t="s">
        <v>211</v>
      </c>
      <c r="P19" s="12">
        <v>3</v>
      </c>
    </row>
    <row r="20" spans="1:16" ht="16" customHeight="1" x14ac:dyDescent="0.2">
      <c r="A20" s="12">
        <v>21</v>
      </c>
      <c r="B20" s="21">
        <v>43549</v>
      </c>
      <c r="C20" s="12" t="s">
        <v>104</v>
      </c>
      <c r="D20" s="12" t="s">
        <v>10</v>
      </c>
      <c r="E20" s="12" t="s">
        <v>37</v>
      </c>
      <c r="F20" s="12" t="s">
        <v>38</v>
      </c>
      <c r="G20" s="12" t="s">
        <v>156</v>
      </c>
      <c r="H20" s="12">
        <v>298</v>
      </c>
      <c r="I20" s="12">
        <v>298</v>
      </c>
      <c r="J20" s="12">
        <f>I20*0.2</f>
        <v>59.6</v>
      </c>
      <c r="K20" s="27">
        <f>100/J20</f>
        <v>1.6778523489932886</v>
      </c>
      <c r="L20" s="27">
        <f>10-K20</f>
        <v>8.3221476510067109</v>
      </c>
      <c r="M20" s="27" t="str">
        <f t="shared" si="0"/>
        <v>C3</v>
      </c>
      <c r="O20" s="12" t="s">
        <v>212</v>
      </c>
      <c r="P20" s="12">
        <v>3</v>
      </c>
    </row>
    <row r="21" spans="1:16" ht="16" customHeight="1" x14ac:dyDescent="0.2">
      <c r="A21" s="12">
        <v>22</v>
      </c>
      <c r="B21" s="21">
        <v>43580</v>
      </c>
      <c r="C21" s="12" t="s">
        <v>104</v>
      </c>
      <c r="D21" s="12" t="s">
        <v>10</v>
      </c>
      <c r="E21" s="12" t="s">
        <v>39</v>
      </c>
      <c r="F21" s="12" t="s">
        <v>40</v>
      </c>
      <c r="G21" s="12" t="s">
        <v>140</v>
      </c>
      <c r="H21" s="12" t="s">
        <v>205</v>
      </c>
      <c r="I21" s="12">
        <v>600</v>
      </c>
      <c r="J21" s="12">
        <f>I21*0.2</f>
        <v>120</v>
      </c>
      <c r="K21" s="27">
        <f>100/J21</f>
        <v>0.83333333333333337</v>
      </c>
      <c r="L21" s="27">
        <f>10-K21</f>
        <v>9.1666666666666661</v>
      </c>
      <c r="M21" s="27" t="str">
        <f t="shared" si="0"/>
        <v>D3</v>
      </c>
      <c r="O21" s="12" t="s">
        <v>19</v>
      </c>
      <c r="P21" s="12">
        <v>3</v>
      </c>
    </row>
    <row r="22" spans="1:16" ht="16" customHeight="1" x14ac:dyDescent="0.2">
      <c r="A22" s="12">
        <v>23</v>
      </c>
      <c r="B22" s="21">
        <v>43580</v>
      </c>
      <c r="C22" s="12" t="s">
        <v>104</v>
      </c>
      <c r="D22" s="12" t="s">
        <v>5</v>
      </c>
      <c r="E22" s="12" t="s">
        <v>39</v>
      </c>
      <c r="F22" s="12" t="s">
        <v>40</v>
      </c>
      <c r="G22" s="12" t="s">
        <v>141</v>
      </c>
      <c r="H22" s="12">
        <v>332</v>
      </c>
      <c r="I22" s="12">
        <v>332</v>
      </c>
      <c r="J22" s="12">
        <f>I22*0.2</f>
        <v>66.400000000000006</v>
      </c>
      <c r="K22" s="27">
        <f>100/J22</f>
        <v>1.506024096385542</v>
      </c>
      <c r="L22" s="27">
        <f>10-K22</f>
        <v>8.4939759036144586</v>
      </c>
      <c r="M22" s="27" t="str">
        <f t="shared" si="0"/>
        <v>E3</v>
      </c>
      <c r="O22" s="12" t="s">
        <v>213</v>
      </c>
      <c r="P22" s="12">
        <v>3</v>
      </c>
    </row>
    <row r="23" spans="1:16" ht="16" customHeight="1" x14ac:dyDescent="0.2">
      <c r="A23" s="12">
        <v>24</v>
      </c>
      <c r="B23" s="21">
        <v>43581</v>
      </c>
      <c r="C23" s="12" t="s">
        <v>104</v>
      </c>
      <c r="D23" s="12" t="s">
        <v>5</v>
      </c>
      <c r="E23" s="12" t="s">
        <v>41</v>
      </c>
      <c r="F23" s="12" t="s">
        <v>42</v>
      </c>
      <c r="G23" s="12" t="s">
        <v>142</v>
      </c>
      <c r="H23" s="12">
        <v>387</v>
      </c>
      <c r="I23" s="12">
        <v>387</v>
      </c>
      <c r="J23" s="12">
        <f>I23*0.2</f>
        <v>77.400000000000006</v>
      </c>
      <c r="K23" s="27">
        <f>100/J23</f>
        <v>1.2919896640826873</v>
      </c>
      <c r="L23" s="27">
        <f>10-K23</f>
        <v>8.7080103359173133</v>
      </c>
      <c r="M23" s="27" t="str">
        <f t="shared" si="0"/>
        <v>F3</v>
      </c>
      <c r="O23" s="12" t="s">
        <v>214</v>
      </c>
      <c r="P23" s="12">
        <v>3</v>
      </c>
    </row>
    <row r="24" spans="1:16" ht="16" customHeight="1" x14ac:dyDescent="0.2">
      <c r="A24" s="12">
        <v>25</v>
      </c>
      <c r="B24" s="21">
        <v>43581</v>
      </c>
      <c r="C24" s="12" t="s">
        <v>104</v>
      </c>
      <c r="D24" s="12" t="s">
        <v>5</v>
      </c>
      <c r="E24" s="12" t="s">
        <v>43</v>
      </c>
      <c r="F24" s="12" t="s">
        <v>44</v>
      </c>
      <c r="G24" s="12" t="s">
        <v>143</v>
      </c>
      <c r="H24" s="12">
        <v>329</v>
      </c>
      <c r="I24" s="12">
        <v>329</v>
      </c>
      <c r="J24" s="12">
        <f>I24*0.2</f>
        <v>65.8</v>
      </c>
      <c r="K24" s="27">
        <f>100/J24</f>
        <v>1.5197568389057752</v>
      </c>
      <c r="L24" s="27">
        <f>10-K24</f>
        <v>8.4802431610942257</v>
      </c>
      <c r="M24" s="27" t="str">
        <f t="shared" si="0"/>
        <v>G3</v>
      </c>
      <c r="O24" s="12" t="s">
        <v>215</v>
      </c>
      <c r="P24" s="12">
        <v>3</v>
      </c>
    </row>
    <row r="25" spans="1:16" ht="16" customHeight="1" x14ac:dyDescent="0.2">
      <c r="A25" s="12">
        <v>26</v>
      </c>
      <c r="B25" s="21">
        <v>43604</v>
      </c>
      <c r="C25" s="12" t="s">
        <v>101</v>
      </c>
      <c r="D25" s="12" t="s">
        <v>10</v>
      </c>
      <c r="E25" s="12" t="s">
        <v>45</v>
      </c>
      <c r="F25" s="12" t="s">
        <v>46</v>
      </c>
      <c r="G25" s="12" t="s">
        <v>166</v>
      </c>
      <c r="H25" s="12">
        <v>488</v>
      </c>
      <c r="I25" s="12">
        <v>488</v>
      </c>
      <c r="J25" s="12">
        <f>I25*0.2</f>
        <v>97.600000000000009</v>
      </c>
      <c r="K25" s="27">
        <f>100/J25</f>
        <v>1.0245901639344261</v>
      </c>
      <c r="L25" s="27">
        <f>10-K25</f>
        <v>8.9754098360655732</v>
      </c>
      <c r="M25" s="27" t="str">
        <f t="shared" si="0"/>
        <v>H3</v>
      </c>
      <c r="N25" s="28" t="s">
        <v>157</v>
      </c>
      <c r="O25" s="12" t="s">
        <v>5</v>
      </c>
      <c r="P25" s="12">
        <v>3</v>
      </c>
    </row>
    <row r="26" spans="1:16" ht="16" customHeight="1" x14ac:dyDescent="0.2">
      <c r="A26" s="12">
        <v>27</v>
      </c>
      <c r="B26" s="21">
        <v>43699</v>
      </c>
      <c r="C26" s="12" t="s">
        <v>102</v>
      </c>
      <c r="D26" s="12" t="s">
        <v>10</v>
      </c>
      <c r="E26" s="12" t="s">
        <v>47</v>
      </c>
      <c r="F26" s="12" t="s">
        <v>48</v>
      </c>
      <c r="G26" s="12" t="s">
        <v>120</v>
      </c>
      <c r="H26" s="12" t="s">
        <v>205</v>
      </c>
      <c r="I26" s="12">
        <v>485</v>
      </c>
      <c r="J26" s="12">
        <f>I26*0.2</f>
        <v>97</v>
      </c>
      <c r="K26" s="27">
        <f>100/J26</f>
        <v>1.0309278350515463</v>
      </c>
      <c r="L26" s="27">
        <f>10-K26</f>
        <v>8.9690721649484537</v>
      </c>
      <c r="M26" s="27" t="str">
        <f t="shared" si="0"/>
        <v>A4</v>
      </c>
      <c r="O26" s="12" t="s">
        <v>210</v>
      </c>
      <c r="P26" s="12">
        <v>4</v>
      </c>
    </row>
    <row r="27" spans="1:16" ht="16" customHeight="1" x14ac:dyDescent="0.2">
      <c r="A27" s="12">
        <v>28</v>
      </c>
      <c r="B27" s="21">
        <v>43742</v>
      </c>
      <c r="C27" s="12" t="s">
        <v>102</v>
      </c>
      <c r="D27" s="12" t="s">
        <v>10</v>
      </c>
      <c r="E27" s="12" t="s">
        <v>49</v>
      </c>
      <c r="F27" s="12" t="s">
        <v>50</v>
      </c>
      <c r="G27" s="12" t="s">
        <v>135</v>
      </c>
      <c r="H27" s="12" t="s">
        <v>205</v>
      </c>
      <c r="I27" s="12">
        <v>370</v>
      </c>
      <c r="J27" s="12">
        <f>I27*0.2</f>
        <v>74</v>
      </c>
      <c r="K27" s="27">
        <f>100/J27</f>
        <v>1.3513513513513513</v>
      </c>
      <c r="L27" s="27">
        <f>10-K27</f>
        <v>8.6486486486486491</v>
      </c>
      <c r="M27" s="27" t="str">
        <f t="shared" si="0"/>
        <v>B4</v>
      </c>
      <c r="O27" s="12" t="s">
        <v>211</v>
      </c>
      <c r="P27" s="12">
        <v>4</v>
      </c>
    </row>
    <row r="28" spans="1:16" ht="16" customHeight="1" x14ac:dyDescent="0.2">
      <c r="A28" s="12">
        <v>29</v>
      </c>
      <c r="B28" s="21">
        <v>43753</v>
      </c>
      <c r="C28" s="12" t="s">
        <v>102</v>
      </c>
      <c r="D28" s="12" t="s">
        <v>5</v>
      </c>
      <c r="E28" s="12" t="s">
        <v>51</v>
      </c>
      <c r="F28" s="12" t="s">
        <v>52</v>
      </c>
      <c r="G28" s="12" t="s">
        <v>138</v>
      </c>
      <c r="H28" s="12">
        <v>38.6</v>
      </c>
      <c r="I28" s="12">
        <v>38.6</v>
      </c>
      <c r="J28" s="12">
        <f>I28*0.2</f>
        <v>7.7200000000000006</v>
      </c>
      <c r="K28" s="27">
        <f>100/J28</f>
        <v>12.953367875647666</v>
      </c>
      <c r="L28" s="27">
        <f>10-K28</f>
        <v>-2.9533678756476665</v>
      </c>
      <c r="M28" s="27" t="str">
        <f t="shared" si="0"/>
        <v>C4</v>
      </c>
      <c r="O28" s="12" t="s">
        <v>212</v>
      </c>
      <c r="P28" s="12">
        <v>4</v>
      </c>
    </row>
    <row r="29" spans="1:16" ht="16" customHeight="1" x14ac:dyDescent="0.2">
      <c r="A29" s="12">
        <v>30</v>
      </c>
      <c r="B29" s="21">
        <v>43758</v>
      </c>
      <c r="C29" s="12" t="s">
        <v>102</v>
      </c>
      <c r="D29" s="12" t="s">
        <v>5</v>
      </c>
      <c r="E29" s="12" t="s">
        <v>53</v>
      </c>
      <c r="F29" s="12" t="s">
        <v>54</v>
      </c>
      <c r="G29" s="12" t="s">
        <v>124</v>
      </c>
      <c r="H29" s="12" t="s">
        <v>205</v>
      </c>
      <c r="I29" s="12">
        <v>411</v>
      </c>
      <c r="J29" s="12">
        <f>I29*0.2</f>
        <v>82.2</v>
      </c>
      <c r="K29" s="27">
        <f>100/J29</f>
        <v>1.2165450121654502</v>
      </c>
      <c r="L29" s="27">
        <f>10-K29</f>
        <v>8.7834549878345491</v>
      </c>
      <c r="M29" s="27" t="str">
        <f t="shared" si="0"/>
        <v>D4</v>
      </c>
      <c r="O29" s="12" t="s">
        <v>19</v>
      </c>
      <c r="P29" s="12">
        <v>4</v>
      </c>
    </row>
    <row r="30" spans="1:16" ht="16" customHeight="1" x14ac:dyDescent="0.2">
      <c r="A30" s="12">
        <v>31</v>
      </c>
      <c r="B30" s="21">
        <v>43762</v>
      </c>
      <c r="C30" s="12" t="s">
        <v>104</v>
      </c>
      <c r="D30" s="15" t="s">
        <v>55</v>
      </c>
      <c r="E30" s="12" t="s">
        <v>56</v>
      </c>
      <c r="F30" s="12" t="s">
        <v>57</v>
      </c>
      <c r="G30" s="12" t="s">
        <v>121</v>
      </c>
      <c r="H30" s="12" t="s">
        <v>205</v>
      </c>
      <c r="I30" s="12">
        <v>134</v>
      </c>
      <c r="J30" s="12">
        <f>I30*0.2</f>
        <v>26.8</v>
      </c>
      <c r="K30" s="27">
        <f>100/J30</f>
        <v>3.7313432835820897</v>
      </c>
      <c r="L30" s="27">
        <f>10-K30</f>
        <v>6.2686567164179099</v>
      </c>
      <c r="M30" s="27" t="str">
        <f t="shared" si="0"/>
        <v>E4</v>
      </c>
      <c r="O30" s="12" t="s">
        <v>213</v>
      </c>
      <c r="P30" s="12">
        <v>4</v>
      </c>
    </row>
    <row r="31" spans="1:16" ht="16" customHeight="1" x14ac:dyDescent="0.2">
      <c r="A31" s="12">
        <v>32</v>
      </c>
      <c r="B31" s="21">
        <v>43798</v>
      </c>
      <c r="C31" s="12" t="s">
        <v>104</v>
      </c>
      <c r="D31" s="15" t="s">
        <v>58</v>
      </c>
      <c r="E31" s="12" t="s">
        <v>59</v>
      </c>
      <c r="F31" s="12" t="s">
        <v>60</v>
      </c>
      <c r="G31" s="12" t="s">
        <v>139</v>
      </c>
      <c r="H31" s="12">
        <v>448</v>
      </c>
      <c r="I31" s="12">
        <v>448</v>
      </c>
      <c r="J31" s="12">
        <f>I31*0.2</f>
        <v>89.600000000000009</v>
      </c>
      <c r="K31" s="27">
        <f>100/J31</f>
        <v>1.1160714285714284</v>
      </c>
      <c r="L31" s="27">
        <f>10-K31</f>
        <v>8.8839285714285712</v>
      </c>
      <c r="M31" s="27" t="str">
        <f t="shared" si="0"/>
        <v>F4</v>
      </c>
      <c r="O31" s="12" t="s">
        <v>214</v>
      </c>
      <c r="P31" s="12">
        <v>4</v>
      </c>
    </row>
    <row r="32" spans="1:16" ht="16" customHeight="1" x14ac:dyDescent="0.2">
      <c r="A32" s="12">
        <v>33</v>
      </c>
      <c r="B32" s="21">
        <v>43798</v>
      </c>
      <c r="C32" s="12" t="s">
        <v>104</v>
      </c>
      <c r="D32" s="12" t="s">
        <v>5</v>
      </c>
      <c r="E32" s="12" t="s">
        <v>59</v>
      </c>
      <c r="F32" s="12" t="s">
        <v>60</v>
      </c>
      <c r="G32" s="12" t="s">
        <v>134</v>
      </c>
      <c r="H32" s="12">
        <v>370</v>
      </c>
      <c r="I32" s="12">
        <v>370</v>
      </c>
      <c r="J32" s="12">
        <f>I32*0.2</f>
        <v>74</v>
      </c>
      <c r="K32" s="27">
        <f>100/J32</f>
        <v>1.3513513513513513</v>
      </c>
      <c r="L32" s="27">
        <f>10-K32</f>
        <v>8.6486486486486491</v>
      </c>
      <c r="M32" s="27" t="str">
        <f t="shared" si="0"/>
        <v>G4</v>
      </c>
      <c r="O32" s="12" t="s">
        <v>215</v>
      </c>
      <c r="P32" s="12">
        <v>4</v>
      </c>
    </row>
    <row r="33" spans="1:16" ht="16" customHeight="1" x14ac:dyDescent="0.2">
      <c r="A33" s="12">
        <v>34</v>
      </c>
      <c r="B33" s="21">
        <v>43851</v>
      </c>
      <c r="C33" s="12" t="s">
        <v>103</v>
      </c>
      <c r="D33" s="12" t="s">
        <v>5</v>
      </c>
      <c r="E33" s="12" t="s">
        <v>61</v>
      </c>
      <c r="F33" s="12" t="s">
        <v>62</v>
      </c>
      <c r="G33" s="12" t="s">
        <v>119</v>
      </c>
      <c r="H33" s="12" t="s">
        <v>205</v>
      </c>
      <c r="I33" s="12">
        <v>590</v>
      </c>
      <c r="J33" s="12">
        <f>I33*0.2</f>
        <v>118</v>
      </c>
      <c r="K33" s="27">
        <f>100/J33</f>
        <v>0.84745762711864403</v>
      </c>
      <c r="L33" s="27">
        <f>10-K33</f>
        <v>9.1525423728813564</v>
      </c>
      <c r="M33" s="27" t="str">
        <f t="shared" si="0"/>
        <v>H4</v>
      </c>
      <c r="O33" s="12" t="s">
        <v>5</v>
      </c>
      <c r="P33" s="12">
        <v>4</v>
      </c>
    </row>
    <row r="34" spans="1:16" ht="16" customHeight="1" x14ac:dyDescent="0.2">
      <c r="A34" s="12">
        <v>35</v>
      </c>
      <c r="B34" s="21">
        <v>43869</v>
      </c>
      <c r="C34" s="12" t="s">
        <v>103</v>
      </c>
      <c r="D34" s="12" t="s">
        <v>10</v>
      </c>
      <c r="E34" s="12" t="s">
        <v>63</v>
      </c>
      <c r="F34" s="12" t="s">
        <v>64</v>
      </c>
      <c r="G34" s="12" t="s">
        <v>128</v>
      </c>
      <c r="H34" s="12">
        <v>379</v>
      </c>
      <c r="I34" s="12">
        <v>379</v>
      </c>
      <c r="J34" s="12">
        <f>I34*0.2</f>
        <v>75.8</v>
      </c>
      <c r="K34" s="27">
        <f>100/J34</f>
        <v>1.3192612137203166</v>
      </c>
      <c r="L34" s="27">
        <f>10-K34</f>
        <v>8.680738786279683</v>
      </c>
      <c r="M34" s="27" t="str">
        <f t="shared" si="0"/>
        <v>A5</v>
      </c>
      <c r="N34" s="12" t="s">
        <v>129</v>
      </c>
      <c r="O34" s="12" t="s">
        <v>210</v>
      </c>
      <c r="P34" s="12">
        <v>5</v>
      </c>
    </row>
    <row r="35" spans="1:16" ht="16" customHeight="1" x14ac:dyDescent="0.2">
      <c r="A35" s="12">
        <v>36</v>
      </c>
      <c r="B35" s="21">
        <v>43886</v>
      </c>
      <c r="C35" s="12" t="s">
        <v>103</v>
      </c>
      <c r="D35" s="12" t="s">
        <v>5</v>
      </c>
      <c r="E35" s="12" t="s">
        <v>65</v>
      </c>
      <c r="F35" s="12" t="s">
        <v>66</v>
      </c>
      <c r="G35" s="12" t="s">
        <v>136</v>
      </c>
      <c r="H35" s="12" t="s">
        <v>205</v>
      </c>
      <c r="I35" s="12">
        <v>540</v>
      </c>
      <c r="J35" s="12">
        <f>I35*0.2</f>
        <v>108</v>
      </c>
      <c r="K35" s="27">
        <f>100/J35</f>
        <v>0.92592592592592593</v>
      </c>
      <c r="L35" s="27">
        <f>10-K35</f>
        <v>9.0740740740740744</v>
      </c>
      <c r="M35" s="27" t="str">
        <f t="shared" si="0"/>
        <v>B5</v>
      </c>
      <c r="O35" s="12" t="s">
        <v>211</v>
      </c>
      <c r="P35" s="12">
        <v>5</v>
      </c>
    </row>
    <row r="36" spans="1:16" ht="16" customHeight="1" x14ac:dyDescent="0.2">
      <c r="A36" s="12">
        <v>38</v>
      </c>
      <c r="B36" s="21">
        <v>43903</v>
      </c>
      <c r="C36" s="12" t="s">
        <v>103</v>
      </c>
      <c r="D36" s="12" t="s">
        <v>10</v>
      </c>
      <c r="E36" s="12" t="s">
        <v>69</v>
      </c>
      <c r="F36" s="12" t="s">
        <v>70</v>
      </c>
      <c r="G36" s="12" t="s">
        <v>130</v>
      </c>
      <c r="H36" s="12" t="s">
        <v>205</v>
      </c>
      <c r="I36" s="12">
        <v>162</v>
      </c>
      <c r="J36" s="12">
        <f>I36*0.2</f>
        <v>32.4</v>
      </c>
      <c r="K36" s="27">
        <f>100/J36</f>
        <v>3.0864197530864197</v>
      </c>
      <c r="L36" s="27">
        <f>10-K36</f>
        <v>6.9135802469135808</v>
      </c>
      <c r="M36" s="27" t="str">
        <f t="shared" si="0"/>
        <v>C5</v>
      </c>
      <c r="N36" s="12" t="s">
        <v>129</v>
      </c>
      <c r="O36" s="12" t="s">
        <v>212</v>
      </c>
      <c r="P36" s="12">
        <v>5</v>
      </c>
    </row>
    <row r="37" spans="1:16" ht="16" customHeight="1" x14ac:dyDescent="0.2">
      <c r="A37" s="12">
        <v>39</v>
      </c>
      <c r="B37" s="21">
        <v>43906</v>
      </c>
      <c r="C37" s="12" t="s">
        <v>101</v>
      </c>
      <c r="D37" s="12" t="s">
        <v>10</v>
      </c>
      <c r="E37" s="12" t="s">
        <v>71</v>
      </c>
      <c r="F37" s="12" t="s">
        <v>72</v>
      </c>
      <c r="G37" s="12" t="s">
        <v>151</v>
      </c>
      <c r="H37" s="12">
        <v>224</v>
      </c>
      <c r="I37" s="12">
        <v>224</v>
      </c>
      <c r="J37" s="12">
        <f>I37*0.2</f>
        <v>44.800000000000004</v>
      </c>
      <c r="K37" s="27">
        <f>100/J37</f>
        <v>2.2321428571428568</v>
      </c>
      <c r="L37" s="27">
        <f>10-K37</f>
        <v>7.7678571428571432</v>
      </c>
      <c r="M37" s="27" t="str">
        <f t="shared" si="0"/>
        <v>D5</v>
      </c>
      <c r="O37" s="12" t="s">
        <v>19</v>
      </c>
      <c r="P37" s="12">
        <v>5</v>
      </c>
    </row>
    <row r="38" spans="1:16" ht="16" customHeight="1" x14ac:dyDescent="0.2">
      <c r="A38" s="12">
        <v>40</v>
      </c>
      <c r="B38" s="21">
        <v>43906</v>
      </c>
      <c r="C38" s="12" t="s">
        <v>100</v>
      </c>
      <c r="D38" s="12" t="s">
        <v>10</v>
      </c>
      <c r="E38" s="12" t="s">
        <v>71</v>
      </c>
      <c r="F38" s="12" t="s">
        <v>72</v>
      </c>
      <c r="G38" s="12" t="s">
        <v>150</v>
      </c>
      <c r="H38" s="12" t="s">
        <v>205</v>
      </c>
      <c r="I38" s="12">
        <v>560</v>
      </c>
      <c r="J38" s="12">
        <f>I38*0.2</f>
        <v>112</v>
      </c>
      <c r="K38" s="27">
        <f>100/J38</f>
        <v>0.8928571428571429</v>
      </c>
      <c r="L38" s="27">
        <f>10-K38</f>
        <v>9.1071428571428577</v>
      </c>
      <c r="M38" s="27" t="str">
        <f t="shared" si="0"/>
        <v>E5</v>
      </c>
      <c r="O38" s="12" t="s">
        <v>213</v>
      </c>
      <c r="P38" s="12">
        <v>5</v>
      </c>
    </row>
    <row r="39" spans="1:16" ht="16" customHeight="1" x14ac:dyDescent="0.2">
      <c r="A39" s="12">
        <v>41</v>
      </c>
      <c r="B39" s="21">
        <v>43907</v>
      </c>
      <c r="C39" s="12" t="s">
        <v>101</v>
      </c>
      <c r="D39" s="12" t="s">
        <v>10</v>
      </c>
      <c r="E39" s="12" t="s">
        <v>73</v>
      </c>
      <c r="F39" s="12" t="s">
        <v>74</v>
      </c>
      <c r="G39" s="12" t="s">
        <v>152</v>
      </c>
      <c r="H39" s="12" t="s">
        <v>205</v>
      </c>
      <c r="I39" s="12">
        <v>550</v>
      </c>
      <c r="J39" s="12">
        <f>I39*0.2</f>
        <v>110</v>
      </c>
      <c r="K39" s="27">
        <f>100/J39</f>
        <v>0.90909090909090906</v>
      </c>
      <c r="L39" s="27">
        <f>10-K39</f>
        <v>9.0909090909090917</v>
      </c>
      <c r="M39" s="27" t="str">
        <f t="shared" si="0"/>
        <v>F5</v>
      </c>
      <c r="O39" s="12" t="s">
        <v>214</v>
      </c>
      <c r="P39" s="12">
        <v>5</v>
      </c>
    </row>
    <row r="40" spans="1:16" ht="16" customHeight="1" x14ac:dyDescent="0.2">
      <c r="A40" s="12">
        <v>42</v>
      </c>
      <c r="B40" s="21">
        <v>43910</v>
      </c>
      <c r="C40" s="12" t="s">
        <v>101</v>
      </c>
      <c r="D40" s="12" t="s">
        <v>10</v>
      </c>
      <c r="E40" s="12" t="s">
        <v>75</v>
      </c>
      <c r="F40" s="12" t="s">
        <v>74</v>
      </c>
      <c r="G40" s="12" t="s">
        <v>153</v>
      </c>
      <c r="H40" s="12">
        <v>222</v>
      </c>
      <c r="I40" s="12">
        <v>222</v>
      </c>
      <c r="J40" s="12">
        <f>I40*0.2</f>
        <v>44.400000000000006</v>
      </c>
      <c r="K40" s="27">
        <f>100/J40</f>
        <v>2.2522522522522519</v>
      </c>
      <c r="L40" s="27">
        <f>10-K40</f>
        <v>7.7477477477477485</v>
      </c>
      <c r="M40" s="27" t="str">
        <f t="shared" si="0"/>
        <v>G5</v>
      </c>
      <c r="O40" s="12" t="s">
        <v>215</v>
      </c>
      <c r="P40" s="12">
        <v>5</v>
      </c>
    </row>
    <row r="41" spans="1:16" ht="16" customHeight="1" x14ac:dyDescent="0.2">
      <c r="A41" s="12">
        <v>44</v>
      </c>
      <c r="B41" s="21">
        <v>44014</v>
      </c>
      <c r="C41" s="12" t="s">
        <v>104</v>
      </c>
      <c r="D41" s="12" t="s">
        <v>5</v>
      </c>
      <c r="E41" s="12" t="s">
        <v>43</v>
      </c>
      <c r="F41" s="15" t="s">
        <v>106</v>
      </c>
      <c r="G41" s="15" t="s">
        <v>127</v>
      </c>
      <c r="H41" s="15">
        <v>580</v>
      </c>
      <c r="I41" s="15">
        <v>580</v>
      </c>
      <c r="J41" s="12">
        <f>I41*0.2</f>
        <v>116</v>
      </c>
      <c r="K41" s="27">
        <f>100/J41</f>
        <v>0.86206896551724133</v>
      </c>
      <c r="L41" s="27">
        <f>10-K41</f>
        <v>9.137931034482758</v>
      </c>
      <c r="M41" s="27" t="str">
        <f t="shared" si="0"/>
        <v>H5</v>
      </c>
      <c r="O41" s="12" t="s">
        <v>5</v>
      </c>
      <c r="P41" s="12">
        <v>5</v>
      </c>
    </row>
    <row r="42" spans="1:16" ht="16" customHeight="1" x14ac:dyDescent="0.2">
      <c r="A42" s="12">
        <v>45</v>
      </c>
      <c r="B42" s="21">
        <v>44035</v>
      </c>
      <c r="C42" s="12" t="s">
        <v>100</v>
      </c>
      <c r="D42" s="12" t="s">
        <v>10</v>
      </c>
      <c r="E42" s="12" t="s">
        <v>78</v>
      </c>
      <c r="F42" s="12" t="s">
        <v>79</v>
      </c>
      <c r="G42" s="12" t="s">
        <v>126</v>
      </c>
      <c r="H42" s="12">
        <v>395</v>
      </c>
      <c r="I42" s="12">
        <v>395</v>
      </c>
      <c r="J42" s="12">
        <f>I42*0.2</f>
        <v>79</v>
      </c>
      <c r="K42" s="27">
        <f>100/J42</f>
        <v>1.2658227848101267</v>
      </c>
      <c r="L42" s="27">
        <f>10-K42</f>
        <v>8.7341772151898738</v>
      </c>
      <c r="M42" s="27" t="str">
        <f t="shared" si="0"/>
        <v>A6</v>
      </c>
      <c r="O42" s="12" t="s">
        <v>210</v>
      </c>
      <c r="P42" s="12">
        <v>6</v>
      </c>
    </row>
    <row r="43" spans="1:16" ht="16" customHeight="1" x14ac:dyDescent="0.2">
      <c r="A43" s="12">
        <v>46</v>
      </c>
      <c r="B43" s="21">
        <v>44053</v>
      </c>
      <c r="C43" s="12" t="s">
        <v>102</v>
      </c>
      <c r="D43" s="12" t="s">
        <v>19</v>
      </c>
      <c r="E43" s="12" t="s">
        <v>80</v>
      </c>
      <c r="F43" s="15" t="s">
        <v>81</v>
      </c>
      <c r="G43" s="15" t="s">
        <v>114</v>
      </c>
      <c r="H43" s="15">
        <v>453</v>
      </c>
      <c r="I43" s="15">
        <v>453</v>
      </c>
      <c r="J43" s="12">
        <f>I43*0.2</f>
        <v>90.600000000000009</v>
      </c>
      <c r="K43" s="27">
        <f>100/J43</f>
        <v>1.1037527593818983</v>
      </c>
      <c r="L43" s="27">
        <f>10-K43</f>
        <v>8.8962472406181021</v>
      </c>
      <c r="M43" s="27" t="str">
        <f t="shared" si="0"/>
        <v>B6</v>
      </c>
      <c r="O43" s="12" t="s">
        <v>211</v>
      </c>
      <c r="P43" s="12">
        <v>6</v>
      </c>
    </row>
    <row r="44" spans="1:16" ht="16" customHeight="1" x14ac:dyDescent="0.2">
      <c r="A44" s="12">
        <v>47</v>
      </c>
      <c r="B44" s="21">
        <v>44090</v>
      </c>
      <c r="C44" s="12" t="s">
        <v>100</v>
      </c>
      <c r="D44" s="12" t="s">
        <v>5</v>
      </c>
      <c r="E44" s="12" t="s">
        <v>82</v>
      </c>
      <c r="F44" s="15" t="s">
        <v>83</v>
      </c>
      <c r="G44" s="15" t="s">
        <v>115</v>
      </c>
      <c r="H44" s="15">
        <v>446</v>
      </c>
      <c r="I44" s="15">
        <v>446</v>
      </c>
      <c r="J44" s="12">
        <f>I44*0.2</f>
        <v>89.2</v>
      </c>
      <c r="K44" s="27">
        <f>100/J44</f>
        <v>1.1210762331838564</v>
      </c>
      <c r="L44" s="27">
        <f>10-K44</f>
        <v>8.8789237668161434</v>
      </c>
      <c r="M44" s="27" t="str">
        <f t="shared" si="0"/>
        <v>C6</v>
      </c>
      <c r="O44" s="12" t="s">
        <v>212</v>
      </c>
      <c r="P44" s="12">
        <v>6</v>
      </c>
    </row>
    <row r="45" spans="1:16" ht="16" customHeight="1" x14ac:dyDescent="0.2">
      <c r="A45" s="12">
        <v>48</v>
      </c>
      <c r="B45" s="21">
        <v>44115</v>
      </c>
      <c r="C45" s="12" t="s">
        <v>100</v>
      </c>
      <c r="D45" s="15" t="s">
        <v>84</v>
      </c>
      <c r="E45" s="12" t="s">
        <v>85</v>
      </c>
      <c r="F45" s="12" t="s">
        <v>86</v>
      </c>
      <c r="G45" s="12" t="s">
        <v>132</v>
      </c>
      <c r="H45" s="12">
        <v>600</v>
      </c>
      <c r="I45" s="12">
        <v>600</v>
      </c>
      <c r="J45" s="12">
        <f>I45*0.2</f>
        <v>120</v>
      </c>
      <c r="K45" s="27">
        <f>100/J45</f>
        <v>0.83333333333333337</v>
      </c>
      <c r="L45" s="27">
        <f>10-K45</f>
        <v>9.1666666666666661</v>
      </c>
      <c r="M45" s="27" t="str">
        <f t="shared" si="0"/>
        <v>D6</v>
      </c>
      <c r="O45" s="12" t="s">
        <v>19</v>
      </c>
      <c r="P45" s="12">
        <v>6</v>
      </c>
    </row>
    <row r="46" spans="1:16" ht="16" customHeight="1" x14ac:dyDescent="0.2">
      <c r="A46" s="12">
        <v>49</v>
      </c>
      <c r="B46" s="21">
        <v>44115</v>
      </c>
      <c r="C46" s="12" t="s">
        <v>102</v>
      </c>
      <c r="D46" s="12" t="s">
        <v>10</v>
      </c>
      <c r="E46" s="12" t="s">
        <v>87</v>
      </c>
      <c r="F46" s="15" t="s">
        <v>107</v>
      </c>
      <c r="G46" s="15" t="s">
        <v>131</v>
      </c>
      <c r="H46" s="15" t="s">
        <v>205</v>
      </c>
      <c r="I46" s="15">
        <v>134</v>
      </c>
      <c r="J46" s="12">
        <f>I46*0.2</f>
        <v>26.8</v>
      </c>
      <c r="K46" s="27">
        <f>100/J46</f>
        <v>3.7313432835820897</v>
      </c>
      <c r="L46" s="27">
        <f>10-K46</f>
        <v>6.2686567164179099</v>
      </c>
      <c r="M46" s="27" t="str">
        <f t="shared" si="0"/>
        <v>E6</v>
      </c>
      <c r="O46" s="12" t="s">
        <v>213</v>
      </c>
      <c r="P46" s="12">
        <v>6</v>
      </c>
    </row>
    <row r="47" spans="1:16" ht="16" customHeight="1" x14ac:dyDescent="0.2">
      <c r="A47" s="12">
        <v>50</v>
      </c>
      <c r="B47" s="21">
        <v>44189</v>
      </c>
      <c r="C47" s="12" t="s">
        <v>104</v>
      </c>
      <c r="D47" s="12" t="s">
        <v>5</v>
      </c>
      <c r="E47" s="12" t="s">
        <v>88</v>
      </c>
      <c r="F47" s="12" t="s">
        <v>89</v>
      </c>
      <c r="G47" s="12" t="s">
        <v>133</v>
      </c>
      <c r="H47" s="12" t="s">
        <v>205</v>
      </c>
      <c r="I47" s="12">
        <v>590</v>
      </c>
      <c r="J47" s="12">
        <f>I47*0.2</f>
        <v>118</v>
      </c>
      <c r="K47" s="27">
        <f>100/J47</f>
        <v>0.84745762711864403</v>
      </c>
      <c r="L47" s="27">
        <f>10-K47</f>
        <v>9.1525423728813564</v>
      </c>
      <c r="M47" s="27" t="str">
        <f t="shared" si="0"/>
        <v>F6</v>
      </c>
      <c r="O47" s="12" t="s">
        <v>214</v>
      </c>
      <c r="P47" s="12">
        <v>6</v>
      </c>
    </row>
    <row r="48" spans="1:16" ht="16" customHeight="1" x14ac:dyDescent="0.2">
      <c r="A48" s="12">
        <v>51</v>
      </c>
      <c r="B48" s="21">
        <v>44267</v>
      </c>
      <c r="C48" s="12" t="s">
        <v>104</v>
      </c>
      <c r="D48" s="12" t="s">
        <v>19</v>
      </c>
      <c r="E48" s="12" t="s">
        <v>90</v>
      </c>
      <c r="F48" s="12" t="s">
        <v>91</v>
      </c>
      <c r="G48" s="12" t="s">
        <v>109</v>
      </c>
      <c r="H48" s="12" t="s">
        <v>205</v>
      </c>
      <c r="I48" s="12">
        <v>540</v>
      </c>
      <c r="J48" s="12">
        <f>I48*0.2</f>
        <v>108</v>
      </c>
      <c r="K48" s="27">
        <f>100/J48</f>
        <v>0.92592592592592593</v>
      </c>
      <c r="L48" s="27">
        <f>10-K48</f>
        <v>9.0740740740740744</v>
      </c>
      <c r="M48" s="27" t="str">
        <f t="shared" si="0"/>
        <v>G6</v>
      </c>
      <c r="O48" s="12" t="s">
        <v>215</v>
      </c>
      <c r="P48" s="12">
        <v>6</v>
      </c>
    </row>
    <row r="49" spans="1:16" ht="16" customHeight="1" x14ac:dyDescent="0.2">
      <c r="A49" s="12">
        <v>52</v>
      </c>
      <c r="B49" s="21">
        <v>44268</v>
      </c>
      <c r="C49" s="12" t="s">
        <v>104</v>
      </c>
      <c r="D49" s="12" t="s">
        <v>5</v>
      </c>
      <c r="E49" s="12" t="s">
        <v>92</v>
      </c>
      <c r="F49" s="12" t="s">
        <v>93</v>
      </c>
      <c r="G49" s="12" t="s">
        <v>110</v>
      </c>
      <c r="H49" s="12" t="s">
        <v>205</v>
      </c>
      <c r="I49" s="12">
        <v>489</v>
      </c>
      <c r="J49" s="12">
        <f>I49*0.2</f>
        <v>97.800000000000011</v>
      </c>
      <c r="K49" s="27">
        <f>100/J49</f>
        <v>1.0224948875255622</v>
      </c>
      <c r="L49" s="27">
        <f>10-K49</f>
        <v>8.9775051124744376</v>
      </c>
      <c r="M49" s="27" t="str">
        <f t="shared" si="0"/>
        <v>H6</v>
      </c>
      <c r="O49" s="12" t="s">
        <v>5</v>
      </c>
      <c r="P49" s="12">
        <v>6</v>
      </c>
    </row>
    <row r="50" spans="1:16" ht="16" customHeight="1" x14ac:dyDescent="0.2">
      <c r="A50" s="12">
        <v>54</v>
      </c>
      <c r="B50" s="21">
        <v>44278</v>
      </c>
      <c r="C50" s="12" t="s">
        <v>105</v>
      </c>
      <c r="D50" s="12" t="s">
        <v>10</v>
      </c>
      <c r="E50" s="12" t="s">
        <v>94</v>
      </c>
      <c r="F50" s="12" t="s">
        <v>95</v>
      </c>
      <c r="G50" s="12" t="s">
        <v>111</v>
      </c>
      <c r="H50" s="12" t="s">
        <v>205</v>
      </c>
      <c r="I50" s="12">
        <v>600</v>
      </c>
      <c r="J50" s="12">
        <f>I50*0.2</f>
        <v>120</v>
      </c>
      <c r="K50" s="27">
        <f>100/J50</f>
        <v>0.83333333333333337</v>
      </c>
      <c r="L50" s="27">
        <f>10-K50</f>
        <v>9.1666666666666661</v>
      </c>
      <c r="M50" s="27" t="str">
        <f t="shared" si="0"/>
        <v>A7</v>
      </c>
      <c r="O50" s="12" t="s">
        <v>210</v>
      </c>
      <c r="P50" s="12">
        <v>7</v>
      </c>
    </row>
    <row r="51" spans="1:16" ht="16" customHeight="1" x14ac:dyDescent="0.2">
      <c r="A51" s="12">
        <v>55</v>
      </c>
      <c r="B51" s="21">
        <v>44278</v>
      </c>
      <c r="C51" s="12" t="s">
        <v>105</v>
      </c>
      <c r="D51" s="12" t="s">
        <v>10</v>
      </c>
      <c r="E51" s="12" t="s">
        <v>94</v>
      </c>
      <c r="F51" s="12" t="s">
        <v>95</v>
      </c>
      <c r="G51" s="12" t="s">
        <v>112</v>
      </c>
      <c r="H51" s="12" t="s">
        <v>205</v>
      </c>
      <c r="I51" s="12">
        <v>492</v>
      </c>
      <c r="J51" s="12">
        <f>I51*0.2</f>
        <v>98.4</v>
      </c>
      <c r="K51" s="27">
        <f>100/J51</f>
        <v>1.0162601626016259</v>
      </c>
      <c r="L51" s="27">
        <f>10-K51</f>
        <v>8.9837398373983746</v>
      </c>
      <c r="M51" s="27" t="str">
        <f t="shared" si="0"/>
        <v>B7</v>
      </c>
      <c r="O51" s="12" t="s">
        <v>211</v>
      </c>
      <c r="P51" s="12">
        <v>7</v>
      </c>
    </row>
    <row r="52" spans="1:16" ht="16" customHeight="1" x14ac:dyDescent="0.2">
      <c r="A52" s="12">
        <v>56</v>
      </c>
      <c r="B52" s="21">
        <v>44391</v>
      </c>
      <c r="C52" s="12" t="s">
        <v>103</v>
      </c>
      <c r="D52" s="12" t="s">
        <v>5</v>
      </c>
      <c r="E52" s="12" t="s">
        <v>96</v>
      </c>
      <c r="F52" s="12" t="s">
        <v>97</v>
      </c>
      <c r="G52" s="12" t="s">
        <v>206</v>
      </c>
      <c r="H52" s="12">
        <v>226</v>
      </c>
      <c r="I52" s="12">
        <v>226</v>
      </c>
      <c r="J52" s="12">
        <f>I52*0.2</f>
        <v>45.2</v>
      </c>
      <c r="K52" s="27">
        <f>100/J52</f>
        <v>2.2123893805309733</v>
      </c>
      <c r="L52" s="27">
        <f>10-K52</f>
        <v>7.7876106194690262</v>
      </c>
      <c r="M52" s="27" t="str">
        <f t="shared" si="0"/>
        <v>C7</v>
      </c>
      <c r="O52" s="12" t="s">
        <v>212</v>
      </c>
      <c r="P52" s="12">
        <v>7</v>
      </c>
    </row>
    <row r="53" spans="1:16" ht="16" customHeight="1" x14ac:dyDescent="0.2">
      <c r="A53" s="12">
        <v>57</v>
      </c>
      <c r="B53" s="21">
        <v>44392</v>
      </c>
      <c r="C53" s="12" t="s">
        <v>103</v>
      </c>
      <c r="D53" s="12" t="s">
        <v>10</v>
      </c>
      <c r="E53" s="12" t="s">
        <v>98</v>
      </c>
      <c r="F53" s="12" t="s">
        <v>99</v>
      </c>
      <c r="G53" s="12" t="s">
        <v>137</v>
      </c>
      <c r="H53" s="12" t="s">
        <v>205</v>
      </c>
      <c r="I53" s="12">
        <v>457</v>
      </c>
      <c r="J53" s="12">
        <f>I53*0.2</f>
        <v>91.4</v>
      </c>
      <c r="K53" s="27">
        <f>100/J53</f>
        <v>1.0940919037199124</v>
      </c>
      <c r="L53" s="27">
        <f>10-K53</f>
        <v>8.9059080962800881</v>
      </c>
      <c r="M53" s="27" t="str">
        <f t="shared" si="0"/>
        <v>D7</v>
      </c>
      <c r="O53" s="12" t="s">
        <v>19</v>
      </c>
      <c r="P53" s="12">
        <v>7</v>
      </c>
    </row>
    <row r="54" spans="1:16" ht="16" customHeight="1" x14ac:dyDescent="0.2">
      <c r="A54" s="12">
        <v>58</v>
      </c>
      <c r="B54" s="21">
        <v>44268</v>
      </c>
      <c r="C54" s="12" t="s">
        <v>104</v>
      </c>
      <c r="D54" s="12" t="s">
        <v>5</v>
      </c>
      <c r="E54" s="12" t="s">
        <v>92</v>
      </c>
      <c r="F54" s="12" t="s">
        <v>93</v>
      </c>
      <c r="G54" s="12" t="s">
        <v>113</v>
      </c>
      <c r="H54" s="12" t="s">
        <v>205</v>
      </c>
      <c r="I54" s="12">
        <v>570</v>
      </c>
      <c r="J54" s="12">
        <f>I54*0.2</f>
        <v>114</v>
      </c>
      <c r="K54" s="27">
        <f>100/J54</f>
        <v>0.8771929824561403</v>
      </c>
      <c r="L54" s="27">
        <f>10-K54</f>
        <v>9.1228070175438596</v>
      </c>
      <c r="M54" s="27" t="str">
        <f t="shared" si="0"/>
        <v>E7</v>
      </c>
      <c r="O54" s="12" t="s">
        <v>213</v>
      </c>
      <c r="P54" s="12">
        <v>7</v>
      </c>
    </row>
    <row r="55" spans="1:16" ht="16" customHeight="1" x14ac:dyDescent="0.2">
      <c r="A55" s="12">
        <v>59</v>
      </c>
      <c r="B55" s="21">
        <v>44253</v>
      </c>
      <c r="C55" s="12" t="s">
        <v>102</v>
      </c>
      <c r="D55" s="12"/>
      <c r="E55" s="12"/>
      <c r="F55" s="12"/>
      <c r="G55" s="12" t="s">
        <v>163</v>
      </c>
      <c r="H55" s="12">
        <v>243</v>
      </c>
      <c r="I55" s="12">
        <v>243</v>
      </c>
      <c r="J55" s="12">
        <f>I55*0.2</f>
        <v>48.6</v>
      </c>
      <c r="K55" s="27">
        <f>100/J55</f>
        <v>2.0576131687242798</v>
      </c>
      <c r="L55" s="27">
        <f>10-K55</f>
        <v>7.9423868312757202</v>
      </c>
      <c r="M55" s="27" t="str">
        <f t="shared" si="0"/>
        <v>F7</v>
      </c>
      <c r="N55" s="28" t="s">
        <v>171</v>
      </c>
      <c r="O55" s="12" t="s">
        <v>214</v>
      </c>
      <c r="P55" s="12">
        <v>7</v>
      </c>
    </row>
    <row r="56" spans="1:16" ht="16" customHeight="1" x14ac:dyDescent="0.2">
      <c r="A56" s="12">
        <v>60</v>
      </c>
      <c r="B56" s="21">
        <v>43898</v>
      </c>
      <c r="C56" s="12"/>
      <c r="D56" s="12"/>
      <c r="E56" s="12"/>
      <c r="F56" s="12"/>
      <c r="G56" s="12" t="s">
        <v>164</v>
      </c>
      <c r="H56" s="12" t="s">
        <v>205</v>
      </c>
      <c r="I56" s="12">
        <v>500</v>
      </c>
      <c r="J56" s="12">
        <f>I56*0.2</f>
        <v>100</v>
      </c>
      <c r="K56" s="27">
        <f>100/J56</f>
        <v>1</v>
      </c>
      <c r="L56" s="27">
        <f>10-K56</f>
        <v>9</v>
      </c>
      <c r="M56" s="27" t="str">
        <f t="shared" si="0"/>
        <v>G7</v>
      </c>
      <c r="N56" s="28" t="s">
        <v>172</v>
      </c>
      <c r="O56" s="12" t="s">
        <v>215</v>
      </c>
      <c r="P56" s="12">
        <v>7</v>
      </c>
    </row>
    <row r="57" spans="1:16" ht="16" customHeight="1" x14ac:dyDescent="0.2">
      <c r="A57" s="12">
        <v>61</v>
      </c>
      <c r="B57" s="21">
        <v>44538</v>
      </c>
      <c r="C57" s="12"/>
      <c r="D57" s="12"/>
      <c r="E57" s="12"/>
      <c r="F57" s="12"/>
      <c r="G57" s="12" t="s">
        <v>165</v>
      </c>
      <c r="H57" s="12">
        <v>540</v>
      </c>
      <c r="I57" s="12">
        <v>540</v>
      </c>
      <c r="J57" s="12">
        <f>I57*0.2</f>
        <v>108</v>
      </c>
      <c r="K57" s="27">
        <f>100/J57</f>
        <v>0.92592592592592593</v>
      </c>
      <c r="L57" s="27">
        <f>10-K57</f>
        <v>9.0740740740740744</v>
      </c>
      <c r="M57" s="27" t="str">
        <f t="shared" si="0"/>
        <v>H7</v>
      </c>
      <c r="N57" s="28" t="s">
        <v>173</v>
      </c>
      <c r="O57" s="12" t="s">
        <v>5</v>
      </c>
      <c r="P57" s="12">
        <v>7</v>
      </c>
    </row>
    <row r="58" spans="1:16" ht="16" customHeight="1" x14ac:dyDescent="0.2">
      <c r="A58" s="12">
        <v>62</v>
      </c>
      <c r="B58" s="21">
        <v>43206</v>
      </c>
      <c r="C58" s="12"/>
      <c r="D58" s="12"/>
      <c r="E58" s="12"/>
      <c r="F58" s="12"/>
      <c r="G58" s="12" t="s">
        <v>167</v>
      </c>
      <c r="H58" s="12" t="s">
        <v>205</v>
      </c>
      <c r="I58" s="12">
        <v>450</v>
      </c>
      <c r="J58" s="12">
        <f>I58*0.2</f>
        <v>90</v>
      </c>
      <c r="K58" s="27">
        <f>100/J58</f>
        <v>1.1111111111111112</v>
      </c>
      <c r="L58" s="27">
        <f>10-K58</f>
        <v>8.8888888888888893</v>
      </c>
      <c r="M58" s="27" t="str">
        <f t="shared" si="0"/>
        <v>A8</v>
      </c>
      <c r="N58" s="28" t="s">
        <v>171</v>
      </c>
      <c r="O58" s="12" t="s">
        <v>210</v>
      </c>
      <c r="P58" s="12">
        <v>8</v>
      </c>
    </row>
    <row r="59" spans="1:16" ht="16" customHeight="1" x14ac:dyDescent="0.2">
      <c r="A59" s="12">
        <v>63</v>
      </c>
      <c r="B59" s="21">
        <v>43255</v>
      </c>
      <c r="C59" s="12"/>
      <c r="D59" s="12"/>
      <c r="E59" s="12"/>
      <c r="F59" s="12"/>
      <c r="G59" s="12" t="s">
        <v>168</v>
      </c>
      <c r="H59" s="12" t="s">
        <v>205</v>
      </c>
      <c r="I59" s="12">
        <v>202</v>
      </c>
      <c r="J59" s="12">
        <f>I59*0.2</f>
        <v>40.400000000000006</v>
      </c>
      <c r="K59" s="27">
        <f>100/J59</f>
        <v>2.4752475247524748</v>
      </c>
      <c r="L59" s="27">
        <f>10-K59</f>
        <v>7.5247524752475252</v>
      </c>
      <c r="M59" s="27" t="str">
        <f t="shared" si="0"/>
        <v>B8</v>
      </c>
      <c r="N59" s="28" t="s">
        <v>174</v>
      </c>
      <c r="O59" s="12" t="s">
        <v>211</v>
      </c>
      <c r="P59" s="12">
        <v>8</v>
      </c>
    </row>
    <row r="60" spans="1:16" ht="16" customHeight="1" x14ac:dyDescent="0.2">
      <c r="A60" s="12">
        <v>64</v>
      </c>
      <c r="B60" s="12"/>
      <c r="C60" s="12"/>
      <c r="D60" s="12"/>
      <c r="E60" s="12"/>
      <c r="F60" s="12"/>
      <c r="G60" s="12" t="s">
        <v>169</v>
      </c>
      <c r="H60" s="12" t="s">
        <v>205</v>
      </c>
      <c r="I60" s="12">
        <v>560</v>
      </c>
      <c r="J60" s="12">
        <f>I60*0.2</f>
        <v>112</v>
      </c>
      <c r="K60" s="27">
        <f>100/J60</f>
        <v>0.8928571428571429</v>
      </c>
      <c r="L60" s="27">
        <f>10-K60</f>
        <v>9.1071428571428577</v>
      </c>
      <c r="M60" s="27" t="str">
        <f t="shared" si="0"/>
        <v>C8</v>
      </c>
      <c r="N60" s="28" t="s">
        <v>171</v>
      </c>
      <c r="O60" s="12" t="s">
        <v>212</v>
      </c>
      <c r="P60" s="12">
        <v>8</v>
      </c>
    </row>
    <row r="61" spans="1:16" ht="16" customHeight="1" x14ac:dyDescent="0.2">
      <c r="A61" s="12">
        <v>65</v>
      </c>
      <c r="B61" s="12"/>
      <c r="C61" s="12"/>
      <c r="D61" s="12"/>
      <c r="E61" s="12"/>
      <c r="F61" s="12"/>
      <c r="G61" s="12" t="s">
        <v>170</v>
      </c>
      <c r="H61" s="12" t="s">
        <v>205</v>
      </c>
      <c r="I61" s="12">
        <v>590</v>
      </c>
      <c r="J61" s="12">
        <f>I61*0.2</f>
        <v>118</v>
      </c>
      <c r="K61" s="27">
        <f>100/J61</f>
        <v>0.84745762711864403</v>
      </c>
      <c r="L61" s="27">
        <f>10-K61</f>
        <v>9.1525423728813564</v>
      </c>
      <c r="M61" s="27" t="str">
        <f t="shared" si="0"/>
        <v>D8</v>
      </c>
      <c r="N61" s="28" t="s">
        <v>171</v>
      </c>
      <c r="O61" s="12" t="s">
        <v>19</v>
      </c>
      <c r="P61" s="12">
        <v>8</v>
      </c>
    </row>
    <row r="62" spans="1:16" ht="16" customHeight="1" x14ac:dyDescent="0.2">
      <c r="A62" s="12">
        <v>66</v>
      </c>
      <c r="B62" s="21">
        <v>45238</v>
      </c>
      <c r="C62" s="12" t="s">
        <v>104</v>
      </c>
      <c r="D62" s="12" t="s">
        <v>5</v>
      </c>
      <c r="E62" s="12" t="s">
        <v>176</v>
      </c>
      <c r="F62" s="12" t="s">
        <v>175</v>
      </c>
      <c r="G62" s="12" t="s">
        <v>177</v>
      </c>
      <c r="H62" s="12" t="s">
        <v>205</v>
      </c>
      <c r="I62" s="12">
        <v>361</v>
      </c>
      <c r="J62" s="12">
        <f>I62*0.2</f>
        <v>72.2</v>
      </c>
      <c r="K62" s="27">
        <f>100/J62</f>
        <v>1.3850415512465373</v>
      </c>
      <c r="L62" s="27">
        <f>10-K62</f>
        <v>8.6149584487534625</v>
      </c>
      <c r="M62" s="27" t="str">
        <f t="shared" si="0"/>
        <v>E8</v>
      </c>
      <c r="N62" s="12" t="s">
        <v>181</v>
      </c>
      <c r="O62" s="12" t="s">
        <v>213</v>
      </c>
      <c r="P62" s="12">
        <v>8</v>
      </c>
    </row>
    <row r="63" spans="1:16" ht="16" customHeight="1" x14ac:dyDescent="0.2">
      <c r="A63" s="12">
        <v>67</v>
      </c>
      <c r="B63" s="21">
        <v>44997</v>
      </c>
      <c r="C63" s="12" t="s">
        <v>105</v>
      </c>
      <c r="D63" s="12" t="s">
        <v>19</v>
      </c>
      <c r="E63" s="28" t="s">
        <v>178</v>
      </c>
      <c r="F63" s="28" t="s">
        <v>179</v>
      </c>
      <c r="G63" s="12" t="s">
        <v>188</v>
      </c>
      <c r="H63" s="12" t="s">
        <v>205</v>
      </c>
      <c r="I63" s="12">
        <v>176</v>
      </c>
      <c r="J63" s="12">
        <f>I63*0.2</f>
        <v>35.200000000000003</v>
      </c>
      <c r="K63" s="27">
        <f>100/J63</f>
        <v>2.8409090909090908</v>
      </c>
      <c r="L63" s="27">
        <f>10-K63</f>
        <v>7.1590909090909092</v>
      </c>
      <c r="M63" s="27" t="str">
        <f t="shared" si="0"/>
        <v>F8</v>
      </c>
      <c r="N63" s="12" t="s">
        <v>180</v>
      </c>
      <c r="O63" s="12" t="s">
        <v>214</v>
      </c>
      <c r="P63" s="12">
        <v>8</v>
      </c>
    </row>
    <row r="64" spans="1:16" ht="16" customHeight="1" x14ac:dyDescent="0.2">
      <c r="A64" s="12">
        <v>68</v>
      </c>
      <c r="B64" s="21">
        <v>44887</v>
      </c>
      <c r="C64" s="12" t="s">
        <v>104</v>
      </c>
      <c r="D64" s="12" t="s">
        <v>5</v>
      </c>
      <c r="E64" s="28" t="s">
        <v>185</v>
      </c>
      <c r="F64" s="28" t="s">
        <v>196</v>
      </c>
      <c r="G64" s="12" t="s">
        <v>187</v>
      </c>
      <c r="H64" s="12" t="s">
        <v>205</v>
      </c>
      <c r="I64" s="12">
        <v>570</v>
      </c>
      <c r="J64" s="12">
        <f>I64*0.2</f>
        <v>114</v>
      </c>
      <c r="K64" s="27">
        <f>100/J64</f>
        <v>0.8771929824561403</v>
      </c>
      <c r="L64" s="27">
        <f>10-K64</f>
        <v>9.1228070175438596</v>
      </c>
      <c r="M64" s="27" t="str">
        <f t="shared" si="0"/>
        <v>G8</v>
      </c>
      <c r="N64" s="28" t="s">
        <v>184</v>
      </c>
      <c r="O64" s="12" t="s">
        <v>215</v>
      </c>
      <c r="P64" s="12">
        <v>8</v>
      </c>
    </row>
    <row r="65" spans="1:16" ht="16" customHeight="1" x14ac:dyDescent="0.2">
      <c r="A65" s="12">
        <v>69</v>
      </c>
      <c r="B65" s="21">
        <v>44804</v>
      </c>
      <c r="C65" s="12" t="s">
        <v>102</v>
      </c>
      <c r="D65" s="12" t="s">
        <v>5</v>
      </c>
      <c r="E65" s="28" t="s">
        <v>194</v>
      </c>
      <c r="F65" s="28" t="s">
        <v>195</v>
      </c>
      <c r="G65" s="12" t="s">
        <v>186</v>
      </c>
      <c r="H65" s="12" t="s">
        <v>205</v>
      </c>
      <c r="I65" s="12">
        <v>520</v>
      </c>
      <c r="J65" s="12">
        <f>I65*0.2</f>
        <v>104</v>
      </c>
      <c r="K65" s="27">
        <f>100/J65</f>
        <v>0.96153846153846156</v>
      </c>
      <c r="L65" s="27">
        <f>10-K65</f>
        <v>9.0384615384615383</v>
      </c>
      <c r="M65" s="27" t="str">
        <f t="shared" si="0"/>
        <v>H8</v>
      </c>
      <c r="N65" s="28" t="s">
        <v>189</v>
      </c>
      <c r="O65" s="12" t="s">
        <v>5</v>
      </c>
      <c r="P65" s="12">
        <v>8</v>
      </c>
    </row>
    <row r="66" spans="1:16" ht="16" customHeight="1" x14ac:dyDescent="0.2">
      <c r="A66" s="12">
        <v>70</v>
      </c>
      <c r="B66" s="21">
        <v>44887</v>
      </c>
      <c r="C66" s="12" t="s">
        <v>104</v>
      </c>
      <c r="D66" s="12" t="s">
        <v>10</v>
      </c>
      <c r="E66" s="28" t="s">
        <v>183</v>
      </c>
      <c r="F66" s="28" t="s">
        <v>192</v>
      </c>
      <c r="G66" s="12" t="s">
        <v>190</v>
      </c>
      <c r="H66" s="12">
        <v>80.2</v>
      </c>
      <c r="I66" s="12">
        <v>80.2</v>
      </c>
      <c r="J66" s="12">
        <f>I66*0.2</f>
        <v>16.040000000000003</v>
      </c>
      <c r="K66" s="27">
        <f>100/J66</f>
        <v>6.2344139650872812</v>
      </c>
      <c r="L66" s="27">
        <f>10-K66</f>
        <v>3.7655860349127188</v>
      </c>
      <c r="M66" s="27" t="str">
        <f t="shared" si="0"/>
        <v>A9</v>
      </c>
      <c r="N66" s="28" t="s">
        <v>182</v>
      </c>
      <c r="O66" s="12" t="s">
        <v>210</v>
      </c>
      <c r="P66" s="12">
        <v>9</v>
      </c>
    </row>
    <row r="67" spans="1:16" ht="16" customHeight="1" x14ac:dyDescent="0.2">
      <c r="A67" s="12">
        <v>71</v>
      </c>
      <c r="B67" s="21">
        <v>44887</v>
      </c>
      <c r="C67" s="12" t="s">
        <v>102</v>
      </c>
      <c r="D67" s="12" t="s">
        <v>19</v>
      </c>
      <c r="E67" s="28" t="s">
        <v>183</v>
      </c>
      <c r="F67" s="28" t="s">
        <v>192</v>
      </c>
      <c r="G67" s="12" t="s">
        <v>193</v>
      </c>
      <c r="H67" s="12" t="s">
        <v>205</v>
      </c>
      <c r="I67" s="12">
        <v>580</v>
      </c>
      <c r="J67" s="12">
        <f>I67*0.2</f>
        <v>116</v>
      </c>
      <c r="K67" s="27">
        <f>100/J67</f>
        <v>0.86206896551724133</v>
      </c>
      <c r="L67" s="27">
        <f>10-K67</f>
        <v>9.137931034482758</v>
      </c>
      <c r="M67" s="27" t="str">
        <f t="shared" ref="M67:M68" si="1">CONCATENATE(O67,P67)</f>
        <v>B9</v>
      </c>
      <c r="N67" s="28" t="s">
        <v>191</v>
      </c>
      <c r="O67" s="12" t="s">
        <v>211</v>
      </c>
      <c r="P67" s="12">
        <v>9</v>
      </c>
    </row>
    <row r="68" spans="1:16" ht="16" customHeight="1" x14ac:dyDescent="0.2">
      <c r="A68" s="12">
        <v>72</v>
      </c>
      <c r="B68" s="21">
        <v>44971</v>
      </c>
      <c r="C68" s="12" t="s">
        <v>104</v>
      </c>
      <c r="D68" s="12" t="s">
        <v>19</v>
      </c>
      <c r="E68" s="28" t="s">
        <v>199</v>
      </c>
      <c r="F68" s="28" t="s">
        <v>200</v>
      </c>
      <c r="G68" s="12" t="s">
        <v>197</v>
      </c>
      <c r="H68" s="12">
        <v>460</v>
      </c>
      <c r="I68" s="12">
        <v>460</v>
      </c>
      <c r="J68" s="12">
        <f>I68*0.2</f>
        <v>92</v>
      </c>
      <c r="K68" s="27">
        <f>100/J68</f>
        <v>1.0869565217391304</v>
      </c>
      <c r="L68" s="27">
        <f>10-K68</f>
        <v>8.9130434782608692</v>
      </c>
      <c r="M68" s="27" t="str">
        <f t="shared" si="1"/>
        <v>C9</v>
      </c>
      <c r="N68" s="28" t="s">
        <v>198</v>
      </c>
      <c r="O68" s="12" t="s">
        <v>212</v>
      </c>
      <c r="P68" s="12">
        <v>9</v>
      </c>
    </row>
    <row r="69" spans="1:16" ht="16" customHeight="1" x14ac:dyDescent="0.2">
      <c r="O69" s="12"/>
    </row>
    <row r="70" spans="1:16" ht="16" customHeight="1" x14ac:dyDescent="0.2">
      <c r="O70" s="12"/>
    </row>
    <row r="71" spans="1:16" ht="16" customHeight="1" x14ac:dyDescent="0.2">
      <c r="O71" s="12"/>
    </row>
    <row r="72" spans="1:16" ht="16" customHeight="1" x14ac:dyDescent="0.2">
      <c r="O72" s="12"/>
    </row>
    <row r="73" spans="1:16" ht="16" customHeight="1" x14ac:dyDescent="0.2">
      <c r="O7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Muestras rayas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 Largacha</dc:creator>
  <cp:lastModifiedBy>Melissa Cronin</cp:lastModifiedBy>
  <dcterms:created xsi:type="dcterms:W3CDTF">2021-07-31T20:39:13Z</dcterms:created>
  <dcterms:modified xsi:type="dcterms:W3CDTF">2024-02-13T18:21:22Z</dcterms:modified>
</cp:coreProperties>
</file>